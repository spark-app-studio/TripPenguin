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 One Know the Basics" sheetId="1" r:id="rId4"/>
    <sheet state="visible" name="Step Two Afford and Save" sheetId="2" r:id="rId5"/>
    <sheet state="visible" name="Step Three Book Your Trip" sheetId="3" r:id="rId6"/>
    <sheet state="visible" name="Final Trip Summary" sheetId="4" r:id="rId7"/>
  </sheets>
  <definedNames/>
  <calcPr/>
</workbook>
</file>

<file path=xl/sharedStrings.xml><?xml version="1.0" encoding="utf-8"?>
<sst xmlns="http://schemas.openxmlformats.org/spreadsheetml/2006/main" count="246" uniqueCount="187">
  <si>
    <r>
      <rPr>
        <rFont val="Nunito"/>
        <b val="0"/>
        <color rgb="FFB45F06"/>
        <sz val="17.0"/>
      </rPr>
      <t>Guide2Go</t>
    </r>
    <r>
      <rPr>
        <rFont val="Nunito"/>
        <b/>
        <color rgb="FFB45F06"/>
        <sz val="24.0"/>
      </rPr>
      <t xml:space="preserve">
Steps to Overseas Travel</t>
    </r>
    <r>
      <rPr>
        <rFont val="Nunito"/>
        <b/>
        <color rgb="FFB45F06"/>
        <sz val="22.0"/>
      </rPr>
      <t xml:space="preserve">
</t>
    </r>
    <r>
      <rPr>
        <rFont val="Nunito"/>
        <b val="0"/>
        <color rgb="FFB45F06"/>
        <sz val="22.0"/>
      </rPr>
      <t>WORKBOOK</t>
    </r>
  </si>
  <si>
    <t>Instructions: Fill in the white cells following the Steps to Overseas Guide.</t>
  </si>
  <si>
    <t>STEP ONE: Know the Basics</t>
  </si>
  <si>
    <t>1. Who is going?</t>
  </si>
  <si>
    <t>Names</t>
  </si>
  <si>
    <t>me, Aldo, Julien</t>
  </si>
  <si>
    <r>
      <rPr>
        <rFont val="Nunito"/>
        <color theme="1"/>
        <sz val="12.0"/>
      </rPr>
      <t xml:space="preserve">Number of people 
</t>
    </r>
    <r>
      <rPr>
        <rFont val="Nunito"/>
        <i/>
        <color theme="1"/>
        <sz val="12.0"/>
      </rPr>
      <t>Do not include people under age 2</t>
    </r>
  </si>
  <si>
    <t>2. What time of year are you going?</t>
  </si>
  <si>
    <t>Spring</t>
  </si>
  <si>
    <t>3. How long are you going?</t>
  </si>
  <si>
    <t>2 weeks</t>
  </si>
  <si>
    <t>4. Where are you going?</t>
  </si>
  <si>
    <t>City</t>
  </si>
  <si>
    <t>Country</t>
  </si>
  <si>
    <t>Number of nights per city</t>
  </si>
  <si>
    <t xml:space="preserve">Paris </t>
  </si>
  <si>
    <t>France</t>
  </si>
  <si>
    <t>Lyon</t>
  </si>
  <si>
    <t>Bordeaux</t>
  </si>
  <si>
    <t>Barcelona</t>
  </si>
  <si>
    <t>Spain</t>
  </si>
  <si>
    <t>Madrid</t>
  </si>
  <si>
    <t>Total number of nights</t>
  </si>
  <si>
    <t>Total number of days</t>
  </si>
  <si>
    <r>
      <rPr>
        <rFont val="Nunito"/>
        <b val="0"/>
        <color rgb="FFB45F06"/>
        <sz val="17.0"/>
      </rPr>
      <t>Guide2Go</t>
    </r>
    <r>
      <rPr>
        <rFont val="Nunito"/>
        <b/>
        <color rgb="FFB45F06"/>
        <sz val="24.0"/>
      </rPr>
      <t xml:space="preserve">
Steps to Overseas Travel</t>
    </r>
    <r>
      <rPr>
        <rFont val="Nunito"/>
        <b/>
        <color rgb="FFB45F06"/>
        <sz val="22.0"/>
      </rPr>
      <t xml:space="preserve">
</t>
    </r>
    <r>
      <rPr>
        <rFont val="Nunito"/>
        <b val="0"/>
        <color rgb="FFB45F06"/>
        <sz val="22.0"/>
      </rPr>
      <t>WORKBOOK</t>
    </r>
  </si>
  <si>
    <t>The earliest date I can book the flights is</t>
  </si>
  <si>
    <t>If using cash only for flights, the earliest date I can book flights is</t>
  </si>
  <si>
    <t>Update cells 10 and 130 every month.</t>
  </si>
  <si>
    <t>STEP TWO: Afford and Save</t>
  </si>
  <si>
    <r>
      <rPr>
        <rFont val="Nunito"/>
        <b/>
        <color theme="1"/>
        <sz val="13.0"/>
      </rPr>
      <t xml:space="preserve">1. Flight costs - </t>
    </r>
    <r>
      <rPr>
        <rFont val="Nunito"/>
        <b val="0"/>
        <i/>
        <color theme="1"/>
        <sz val="13.0"/>
      </rPr>
      <t xml:space="preserve">Consider completing both strategies and choosing the best one.  </t>
    </r>
    <r>
      <rPr>
        <rFont val="Nunito"/>
        <b/>
        <color theme="1"/>
        <sz val="13.0"/>
      </rPr>
      <t xml:space="preserve">                                      </t>
    </r>
  </si>
  <si>
    <t>Strategy 1: Use credit card points or a combination of points and cash.</t>
  </si>
  <si>
    <t>Which credit card am I using?</t>
  </si>
  <si>
    <t>Chase Sapphire</t>
  </si>
  <si>
    <r>
      <rPr>
        <rFont val="Nunito"/>
        <color theme="1"/>
        <sz val="12.0"/>
      </rPr>
      <t xml:space="preserve">How many </t>
    </r>
    <r>
      <rPr>
        <rFont val="Nunito"/>
        <b/>
        <color theme="1"/>
        <sz val="12.0"/>
      </rPr>
      <t>points</t>
    </r>
    <r>
      <rPr>
        <rFont val="Nunito"/>
        <color theme="1"/>
        <sz val="12.0"/>
      </rPr>
      <t xml:space="preserve"> do I need to save for everyone's flights there and back?</t>
    </r>
  </si>
  <si>
    <r>
      <rPr>
        <rFont val="Nunito"/>
        <color theme="1"/>
        <sz val="12.0"/>
      </rPr>
      <t xml:space="preserve">How many </t>
    </r>
    <r>
      <rPr>
        <rFont val="Nunito"/>
        <b/>
        <color theme="1"/>
        <sz val="12.0"/>
      </rPr>
      <t>points</t>
    </r>
    <r>
      <rPr>
        <rFont val="Nunito"/>
        <color theme="1"/>
        <sz val="12.0"/>
      </rPr>
      <t xml:space="preserve"> do I have now?
</t>
    </r>
    <r>
      <rPr>
        <rFont val="Nunito"/>
        <b/>
        <color rgb="FFFF0000"/>
        <sz val="12.0"/>
      </rPr>
      <t>**Update this amount every month**</t>
    </r>
  </si>
  <si>
    <r>
      <rPr>
        <rFont val="Nunito"/>
        <color theme="1"/>
        <sz val="12.0"/>
      </rPr>
      <t xml:space="preserve">Remaining </t>
    </r>
    <r>
      <rPr>
        <rFont val="Nunito"/>
        <b/>
        <color theme="1"/>
        <sz val="12.0"/>
      </rPr>
      <t>points</t>
    </r>
    <r>
      <rPr>
        <rFont val="Nunito"/>
        <color theme="1"/>
        <sz val="12.0"/>
      </rPr>
      <t xml:space="preserve"> needed.</t>
    </r>
  </si>
  <si>
    <r>
      <rPr>
        <rFont val="Nunito"/>
        <color theme="1"/>
        <sz val="12.0"/>
      </rPr>
      <t xml:space="preserve">How many </t>
    </r>
    <r>
      <rPr>
        <rFont val="Nunito"/>
        <b/>
        <color theme="1"/>
        <sz val="12.0"/>
      </rPr>
      <t>points</t>
    </r>
    <r>
      <rPr>
        <rFont val="Nunito"/>
        <color theme="1"/>
        <sz val="12.0"/>
      </rPr>
      <t xml:space="preserve"> will I earn each month?</t>
    </r>
  </si>
  <si>
    <r>
      <rPr>
        <rFont val="Nunito"/>
        <color theme="1"/>
        <sz val="12.0"/>
      </rPr>
      <t xml:space="preserve">Number of </t>
    </r>
    <r>
      <rPr>
        <rFont val="Nunito"/>
        <b/>
        <color theme="1"/>
        <sz val="12.0"/>
      </rPr>
      <t>months</t>
    </r>
    <r>
      <rPr>
        <rFont val="Nunito"/>
        <color theme="1"/>
        <sz val="12.0"/>
      </rPr>
      <t xml:space="preserve"> to save all the points.</t>
    </r>
  </si>
  <si>
    <r>
      <rPr>
        <rFont val="Nunito"/>
        <b/>
        <color theme="1"/>
        <sz val="12.0"/>
      </rPr>
      <t>Months</t>
    </r>
    <r>
      <rPr>
        <rFont val="Nunito"/>
        <color theme="1"/>
        <sz val="12.0"/>
      </rPr>
      <t xml:space="preserve"> left to save all the points.</t>
    </r>
  </si>
  <si>
    <t>Strategy 2: Use cash only.</t>
  </si>
  <si>
    <t>How much will everyone's flights there and back cost?</t>
  </si>
  <si>
    <r>
      <rPr>
        <rFont val="Nunito"/>
        <color theme="1"/>
        <sz val="12.0"/>
      </rPr>
      <t xml:space="preserve">How much </t>
    </r>
    <r>
      <rPr>
        <rFont val="Nunito"/>
        <b/>
        <color theme="1"/>
        <sz val="12.0"/>
      </rPr>
      <t>cash</t>
    </r>
    <r>
      <rPr>
        <rFont val="Nunito"/>
        <color theme="1"/>
        <sz val="12.0"/>
      </rPr>
      <t xml:space="preserve"> do I have now for flights?</t>
    </r>
  </si>
  <si>
    <r>
      <rPr>
        <rFont val="Nunito"/>
        <color theme="1"/>
        <sz val="12.0"/>
      </rPr>
      <t xml:space="preserve">Remaining </t>
    </r>
    <r>
      <rPr>
        <rFont val="Nunito"/>
        <b/>
        <color theme="1"/>
        <sz val="12.0"/>
      </rPr>
      <t>cash</t>
    </r>
    <r>
      <rPr>
        <rFont val="Nunito"/>
        <color theme="1"/>
        <sz val="12.0"/>
      </rPr>
      <t xml:space="preserve"> needed.</t>
    </r>
  </si>
  <si>
    <r>
      <rPr>
        <rFont val="Nunito"/>
        <color theme="1"/>
        <sz val="12.0"/>
      </rPr>
      <t xml:space="preserve">How much </t>
    </r>
    <r>
      <rPr>
        <rFont val="Nunito"/>
        <b/>
        <color theme="1"/>
        <sz val="12.0"/>
      </rPr>
      <t>cash</t>
    </r>
    <r>
      <rPr>
        <rFont val="Nunito"/>
        <color theme="1"/>
        <sz val="12.0"/>
      </rPr>
      <t xml:space="preserve"> can I save per month for flights?</t>
    </r>
  </si>
  <si>
    <r>
      <rPr>
        <rFont val="Nunito"/>
        <color theme="1"/>
        <sz val="12.0"/>
      </rPr>
      <t xml:space="preserve">Number of </t>
    </r>
    <r>
      <rPr>
        <rFont val="Nunito"/>
        <b/>
        <color theme="1"/>
        <sz val="12.0"/>
      </rPr>
      <t>months</t>
    </r>
    <r>
      <rPr>
        <rFont val="Nunito"/>
        <color theme="1"/>
        <sz val="12.0"/>
      </rPr>
      <t xml:space="preserve"> to save total amount.</t>
    </r>
  </si>
  <si>
    <r>
      <rPr>
        <rFont val="Nunito"/>
        <b/>
        <color theme="1"/>
        <sz val="12.0"/>
      </rPr>
      <t>Months</t>
    </r>
    <r>
      <rPr>
        <rFont val="Nunito"/>
        <color theme="1"/>
        <sz val="12.0"/>
      </rPr>
      <t xml:space="preserve"> left to save total amount.</t>
    </r>
  </si>
  <si>
    <t>Decide: Which strategy did I choose?</t>
  </si>
  <si>
    <t>Points</t>
  </si>
  <si>
    <t>If using points, add estimate of any cash needed (taxes, fees, etc.)</t>
  </si>
  <si>
    <t>Total estimated flight cost</t>
  </si>
  <si>
    <t xml:space="preserve">2. Housing costs </t>
  </si>
  <si>
    <t>Cities</t>
  </si>
  <si>
    <t>Total cost per city</t>
  </si>
  <si>
    <t>Total estimated housing cost</t>
  </si>
  <si>
    <t>3. Food costs</t>
  </si>
  <si>
    <t>Number of days eating budget meals</t>
  </si>
  <si>
    <t>Number of days eating moderate meals</t>
  </si>
  <si>
    <t>Estimated cost</t>
  </si>
  <si>
    <t>Number of days in expensive countries</t>
  </si>
  <si>
    <t>Total estimated food cost</t>
  </si>
  <si>
    <t>4. Transportation costs</t>
  </si>
  <si>
    <t>Transportation you will book in advance</t>
  </si>
  <si>
    <t>Trains from city to city</t>
  </si>
  <si>
    <t>Total cost</t>
  </si>
  <si>
    <t>Paris</t>
  </si>
  <si>
    <t>to</t>
  </si>
  <si>
    <t>Include any other planned transportation</t>
  </si>
  <si>
    <t>Paris river boat tour</t>
  </si>
  <si>
    <t>Flight from Madrid to London</t>
  </si>
  <si>
    <t>Total amount - Transportation you will book in advance</t>
  </si>
  <si>
    <t>Transportation you will buy during the trip</t>
  </si>
  <si>
    <t>To and from the airport</t>
  </si>
  <si>
    <t>Getting around the city - public transportation</t>
  </si>
  <si>
    <t>Getting around the city - rideshare</t>
  </si>
  <si>
    <t>Total amount - Buying during the trip</t>
  </si>
  <si>
    <t>Total transportation cost</t>
  </si>
  <si>
    <t>5. Fun costs</t>
  </si>
  <si>
    <t>Planned cost - List the major activities you plan to do</t>
  </si>
  <si>
    <t>Louvre</t>
  </si>
  <si>
    <t>Eiffel Tower</t>
  </si>
  <si>
    <t>Musée d'Orsay</t>
  </si>
  <si>
    <t>Sainte-Chapelle</t>
  </si>
  <si>
    <t>Clothes shopping</t>
  </si>
  <si>
    <t>Théâtres Romains de Fourvière</t>
  </si>
  <si>
    <t>Musée des Confluences</t>
  </si>
  <si>
    <t>Basilique Notre Dame de Fourviere</t>
  </si>
  <si>
    <t>Musée du Vin et du Négoce</t>
  </si>
  <si>
    <t>Bassins de Lumières</t>
  </si>
  <si>
    <t>Wine tasting</t>
  </si>
  <si>
    <t>Basílica de la Sagrada Familia</t>
  </si>
  <si>
    <t>Casa Batlló</t>
  </si>
  <si>
    <t>Casa Vicens Gaudí</t>
  </si>
  <si>
    <t>Siteseeing Bus Tour</t>
  </si>
  <si>
    <t>Toledo tour</t>
  </si>
  <si>
    <t>Prado National Museum</t>
  </si>
  <si>
    <t>Museo Sorolla</t>
  </si>
  <si>
    <t>Total amount - Booking fun in advance</t>
  </si>
  <si>
    <t>Total unplanned cost for extra activities (includes souvenirs)</t>
  </si>
  <si>
    <t>Total estimated fun cost</t>
  </si>
  <si>
    <t>6. Trip preparation costs</t>
  </si>
  <si>
    <t>List what I need to buy for the trip</t>
  </si>
  <si>
    <t>Coats ($100 each) for 3 people</t>
  </si>
  <si>
    <t>New luggage</t>
  </si>
  <si>
    <t>Winter boots for 2 people ($100 and $150)</t>
  </si>
  <si>
    <t>Total estimated preparation cost</t>
  </si>
  <si>
    <t>7. Catch-all costs</t>
  </si>
  <si>
    <t>My total catch-all cost</t>
  </si>
  <si>
    <t>My total estimated trip cost is</t>
  </si>
  <si>
    <t>How much can I save per month?</t>
  </si>
  <si>
    <r>
      <rPr>
        <rFont val="Nunito"/>
        <color theme="1"/>
        <sz val="14.0"/>
      </rPr>
      <t xml:space="preserve">How much do I have saved now?
</t>
    </r>
    <r>
      <rPr>
        <rFont val="Nunito"/>
        <b/>
        <color rgb="FFFF0000"/>
        <sz val="14.0"/>
      </rPr>
      <t>**Update this amount every month.**</t>
    </r>
  </si>
  <si>
    <t>Amount left to save.</t>
  </si>
  <si>
    <t>Months left to save.</t>
  </si>
  <si>
    <t>My earliest travel date is</t>
  </si>
  <si>
    <t>Total cash needed to save for flights.</t>
  </si>
  <si>
    <t>Months left to save for flights.</t>
  </si>
  <si>
    <t>Total points needed to save for flights.</t>
  </si>
  <si>
    <t>Months left to save for points.</t>
  </si>
  <si>
    <r>
      <rPr>
        <rFont val="Nunito"/>
        <b val="0"/>
        <color rgb="FFB45F06"/>
        <sz val="17.0"/>
      </rPr>
      <t>Guide2Go</t>
    </r>
    <r>
      <rPr>
        <rFont val="Nunito"/>
        <b/>
        <color rgb="FFB45F06"/>
        <sz val="24.0"/>
      </rPr>
      <t xml:space="preserve">
Steps to Overseas Travel</t>
    </r>
    <r>
      <rPr>
        <rFont val="Nunito"/>
        <b/>
        <color rgb="FFB45F06"/>
        <sz val="22.0"/>
      </rPr>
      <t xml:space="preserve">
</t>
    </r>
    <r>
      <rPr>
        <rFont val="Nunito"/>
        <b val="0"/>
        <color rgb="FFB45F06"/>
        <sz val="22.0"/>
      </rPr>
      <t>WORKBOOK</t>
    </r>
  </si>
  <si>
    <t>STEP THREE: Book Your Trip</t>
  </si>
  <si>
    <t>1. Booking flights</t>
  </si>
  <si>
    <t>Airline</t>
  </si>
  <si>
    <t>American Airlines</t>
  </si>
  <si>
    <t>Outbound flight date</t>
  </si>
  <si>
    <t>Return flight date</t>
  </si>
  <si>
    <t>Did I reserve the seats?</t>
  </si>
  <si>
    <t>No</t>
  </si>
  <si>
    <t>Did I pay for checked bags?</t>
  </si>
  <si>
    <t>Yes</t>
  </si>
  <si>
    <t>Are all passports valid within 6 months from the end date of my trip?</t>
  </si>
  <si>
    <t>If going to Europe, did I complete the ETIAS travel authorization?</t>
  </si>
  <si>
    <t>What did I pay for the flights, including bags and seats?</t>
  </si>
  <si>
    <t>Total Amount Paid: Flights</t>
  </si>
  <si>
    <r>
      <rPr>
        <rFont val="Nunito"/>
        <color theme="1"/>
        <sz val="14.0"/>
      </rPr>
      <t>Amount I am under or over (</t>
    </r>
    <r>
      <rPr>
        <rFont val="Nunito"/>
        <color rgb="FFFF0000"/>
        <sz val="14.0"/>
      </rPr>
      <t>red</t>
    </r>
    <r>
      <rPr>
        <rFont val="Nunito"/>
        <color theme="1"/>
        <sz val="14.0"/>
      </rPr>
      <t>) budget for flights</t>
    </r>
  </si>
  <si>
    <r>
      <rPr>
        <rFont val="Nunito"/>
        <b/>
        <color theme="1"/>
        <sz val="12.0"/>
      </rPr>
      <t xml:space="preserve">If I'm over budget: </t>
    </r>
    <r>
      <rPr>
        <rFont val="Nunito"/>
        <color theme="1"/>
        <sz val="12.0"/>
      </rPr>
      <t xml:space="preserve">
If I choose to save more, I must save this much more per month. </t>
    </r>
  </si>
  <si>
    <t>2. Booking housing</t>
  </si>
  <si>
    <t>Housing name</t>
  </si>
  <si>
    <t>Paris Court Hotel</t>
  </si>
  <si>
    <t>Dates</t>
  </si>
  <si>
    <t>3/9/26-3/12/26</t>
  </si>
  <si>
    <t>Amount Paid</t>
  </si>
  <si>
    <t>Best Western Lyon</t>
  </si>
  <si>
    <t>3/12/26-3/14/26</t>
  </si>
  <si>
    <t>Airbnb Bordeaux</t>
  </si>
  <si>
    <t>3/14/26-3/16/26</t>
  </si>
  <si>
    <t>Hotel Mosaic</t>
  </si>
  <si>
    <t>3/16/26-3/19/26</t>
  </si>
  <si>
    <t>Madrid Hotel</t>
  </si>
  <si>
    <t>3/19/26-3/21/26</t>
  </si>
  <si>
    <t>Total Amount Paid: Housing</t>
  </si>
  <si>
    <t>Amount left from my estimate</t>
  </si>
  <si>
    <r>
      <rPr>
        <rFont val="Nunito"/>
        <b/>
        <color theme="1"/>
        <sz val="12.0"/>
      </rPr>
      <t xml:space="preserve">If I'm over budget: 
</t>
    </r>
    <r>
      <rPr>
        <rFont val="Nunito"/>
        <color theme="1"/>
        <sz val="12.0"/>
      </rPr>
      <t xml:space="preserve">If I choose to save more, I must save this much more per month. </t>
    </r>
  </si>
  <si>
    <t xml:space="preserve">3. Food </t>
  </si>
  <si>
    <t>If you want to make any reservations at in-demand restaurants, document those here:</t>
  </si>
  <si>
    <r>
      <rPr>
        <rFont val="Nunito"/>
        <sz val="12.0"/>
      </rPr>
      <t xml:space="preserve">Made a reservation for 3 at the Botin Restaurant in Madrid on 3/19 at 6pm using their website: </t>
    </r>
    <r>
      <rPr>
        <rFont val="Nunito"/>
        <color rgb="FF1155CC"/>
        <sz val="12.0"/>
        <u/>
      </rPr>
      <t>https://botin.es/reserva/</t>
    </r>
  </si>
  <si>
    <t>4. Booking transportation</t>
  </si>
  <si>
    <t>Check if booked</t>
  </si>
  <si>
    <t>Amount spent</t>
  </si>
  <si>
    <t>Total Amount Paid: Transportation</t>
  </si>
  <si>
    <r>
      <rPr>
        <rFont val="Nunito"/>
        <b/>
        <color theme="1"/>
        <sz val="12.0"/>
      </rPr>
      <t xml:space="preserve">If I'm over budget: 
</t>
    </r>
    <r>
      <rPr>
        <rFont val="Nunito"/>
        <color theme="1"/>
        <sz val="12.0"/>
      </rPr>
      <t xml:space="preserve">If I choose to save more, I must save this much more per month. </t>
    </r>
  </si>
  <si>
    <t>5. Booking fun</t>
  </si>
  <si>
    <t>Major activities planned</t>
  </si>
  <si>
    <t>Did I book?</t>
  </si>
  <si>
    <t>Amount spent or plan to spend</t>
  </si>
  <si>
    <t xml:space="preserve">Total Amount Paid: Fun </t>
  </si>
  <si>
    <r>
      <rPr>
        <rFont val="Nunito"/>
        <b/>
        <color theme="1"/>
        <sz val="12.0"/>
      </rPr>
      <t>If I'm over budget:</t>
    </r>
    <r>
      <rPr>
        <rFont val="Nunito"/>
        <color theme="1"/>
        <sz val="12.0"/>
      </rPr>
      <t xml:space="preserve"> 
If I choose to save more, I must save this much more per month. </t>
    </r>
  </si>
  <si>
    <t>6. Trip Preparation Purchases</t>
  </si>
  <si>
    <t>What did I buy for the trip?</t>
  </si>
  <si>
    <t>Luggage tags</t>
  </si>
  <si>
    <t>Total Amount Paid: Trip Prep</t>
  </si>
  <si>
    <r>
      <rPr>
        <rFont val="Nunito"/>
        <b/>
        <color theme="1"/>
        <sz val="12.0"/>
      </rPr>
      <t xml:space="preserve">If I'm over budget: 
</t>
    </r>
    <r>
      <rPr>
        <rFont val="Nunito"/>
        <color theme="1"/>
        <sz val="12.0"/>
      </rPr>
      <t xml:space="preserve">If I choose to save more, I must save this much more per month. </t>
    </r>
  </si>
  <si>
    <t>TOTAL AMOUNT SPENT: 
Pre-Trip</t>
  </si>
  <si>
    <t>Estimated Food Cost</t>
  </si>
  <si>
    <t>Estimated Transportation Cost (During Trip)</t>
  </si>
  <si>
    <t>Estimated Fun Cost (During Trip)</t>
  </si>
  <si>
    <t>Catch-all cost</t>
  </si>
  <si>
    <t>TOTAL TRIP COST: 
Pre-Trip and During Trip</t>
  </si>
  <si>
    <r>
      <rPr>
        <rFont val="Nunito"/>
        <b val="0"/>
        <color rgb="FFB45F06"/>
        <sz val="17.0"/>
      </rPr>
      <t>Guide2Go</t>
    </r>
    <r>
      <rPr>
        <rFont val="Nunito"/>
        <b/>
        <color rgb="FFB45F06"/>
        <sz val="24.0"/>
      </rPr>
      <t xml:space="preserve">
Steps to Overseas Travel</t>
    </r>
    <r>
      <rPr>
        <rFont val="Nunito"/>
        <b/>
        <color rgb="FFB45F06"/>
        <sz val="22.0"/>
      </rPr>
      <t xml:space="preserve">
</t>
    </r>
    <r>
      <rPr>
        <rFont val="Nunito"/>
        <b val="0"/>
        <color rgb="FFB45F06"/>
        <sz val="22.0"/>
      </rPr>
      <t>WORKBOOK</t>
    </r>
  </si>
  <si>
    <t>Trip Summary and Trip Budget</t>
  </si>
  <si>
    <t>Who is going?</t>
  </si>
  <si>
    <t>Flight Information</t>
  </si>
  <si>
    <t xml:space="preserve">Outbound flight date </t>
  </si>
  <si>
    <t>Where are we going and staying?</t>
  </si>
  <si>
    <t>Total amount spent: Pre-Trip</t>
  </si>
  <si>
    <t>Total planned spending: During the Trip</t>
  </si>
  <si>
    <t>Amount I can spend on food</t>
  </si>
  <si>
    <t>Amount I can spend on non-reserved transportation</t>
  </si>
  <si>
    <t xml:space="preserve">Amount I can spend on non-reserved fun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</si>
</sst>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&quot;$&quot;#,##0.00"/>
    <numFmt numFmtId="166" formatCode="mmmm&quot; &quot;yyyy"/>
    <numFmt numFmtId="167" formatCode="mmm d yyyy"/>
    <numFmt numFmtId="168" formatCode="m/d/yy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rgb="FFB45F06"/>
      <name val="Nunito"/>
    </font>
    <font>
      <b/>
      <sz val="22.0"/>
      <color rgb="FFA61C00"/>
      <name val="Nunito"/>
    </font>
    <font>
      <color theme="1"/>
      <name val="Nunito"/>
    </font>
    <font/>
    <font>
      <i/>
      <sz val="12.0"/>
      <color theme="1"/>
      <name val="Nunito"/>
    </font>
    <font>
      <color rgb="FF308D4A"/>
      <name val="Nunito"/>
    </font>
    <font>
      <b/>
      <sz val="16.0"/>
      <color rgb="FFFFFFFF"/>
      <name val="Nunito"/>
    </font>
    <font>
      <b/>
      <sz val="13.0"/>
      <color theme="1"/>
      <name val="Nunito"/>
    </font>
    <font>
      <sz val="12.0"/>
      <color theme="1"/>
      <name val="Nunito"/>
    </font>
    <font>
      <color rgb="FFFFFFFF"/>
      <name val="Nunito"/>
    </font>
    <font>
      <b/>
      <i/>
      <sz val="12.0"/>
      <color theme="1"/>
      <name val="Nunito"/>
    </font>
    <font>
      <sz val="12.0"/>
      <color rgb="FFFFFFFF"/>
      <name val="Nunito"/>
    </font>
    <font>
      <sz val="9.0"/>
      <color rgb="FF1F1F1F"/>
      <name val="&quot;Google Sans&quot;"/>
    </font>
    <font>
      <b/>
      <sz val="14.0"/>
      <color theme="1"/>
      <name val="Nunito"/>
    </font>
    <font>
      <b/>
      <sz val="12.0"/>
      <color rgb="FF000000"/>
      <name val="Nunito"/>
    </font>
    <font>
      <sz val="12.0"/>
      <color rgb="FF000000"/>
      <name val="Nunito"/>
    </font>
    <font>
      <sz val="14.0"/>
      <color theme="1"/>
      <name val="Nunito"/>
    </font>
    <font>
      <b/>
      <sz val="14.0"/>
      <color rgb="FF000000"/>
      <name val="Nunito"/>
    </font>
    <font>
      <sz val="14.0"/>
      <color rgb="FF000000"/>
      <name val="Nunito"/>
    </font>
    <font>
      <u/>
      <sz val="12.0"/>
      <color rgb="FF0000FF"/>
      <name val="Nunito"/>
    </font>
    <font>
      <color rgb="FF000000"/>
      <name val="Docs-Nunito"/>
    </font>
    <font>
      <b/>
      <sz val="12.0"/>
      <color theme="1"/>
      <name val="Nunito"/>
    </font>
  </fonts>
  <fills count="2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308D4A"/>
        <bgColor rgb="FF308D4A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89">
    <border/>
    <border>
      <left style="medium">
        <color rgb="FFFFFFFF"/>
      </left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FFFFFF"/>
      </right>
      <top style="medium">
        <color rgb="FF000000"/>
      </top>
      <bottom style="hair">
        <color rgb="FF000000"/>
      </bottom>
    </border>
    <border>
      <left style="medium">
        <color rgb="FFFFFFFF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FFFFFF"/>
      </right>
      <top style="hair">
        <color rgb="FF000000"/>
      </top>
      <bottom style="hair">
        <color rgb="FF000000"/>
      </bottom>
    </border>
    <border>
      <left style="medium">
        <color rgb="FFFFFFFF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FFFFFF"/>
      </right>
      <top style="hair">
        <color rgb="FF000000"/>
      </top>
    </border>
    <border>
      <left style="medium">
        <color rgb="FFFFFFFF"/>
      </left>
      <top style="medium">
        <color rgb="FF000000"/>
      </top>
    </border>
    <border>
      <top style="medium">
        <color rgb="FF000000"/>
      </top>
    </border>
    <border>
      <right style="medium">
        <color rgb="FFFFFFFF"/>
      </right>
      <top style="medium">
        <color rgb="FF000000"/>
      </top>
    </border>
    <border>
      <right style="medium">
        <color rgb="FFFFFFFF"/>
      </right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medium">
        <color rgb="FFFFFFFF"/>
      </left>
      <bottom style="medium">
        <color rgb="FF000000"/>
      </bottom>
    </border>
    <border>
      <bottom style="medium">
        <color rgb="FF000000"/>
      </bottom>
    </border>
    <border>
      <right style="medium">
        <color rgb="FFFFFFFF"/>
      </right>
      <bottom style="medium">
        <color rgb="FF000000"/>
      </bottom>
    </border>
    <border>
      <left style="medium">
        <color rgb="FFFFFFFF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medium">
        <color rgb="FFFFFFFF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medium">
        <color rgb="FFFFFFFF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FFFFFF"/>
      </left>
      <top style="thick">
        <color rgb="FF000000"/>
      </top>
      <bottom style="hair">
        <color rgb="FF000000"/>
      </bottom>
    </border>
    <border>
      <top style="thick">
        <color rgb="FF000000"/>
      </top>
      <bottom style="hair">
        <color rgb="FF000000"/>
      </bottom>
    </border>
    <border>
      <right style="medium">
        <color rgb="FFFFFFFF"/>
      </right>
      <top style="thick">
        <color rgb="FF000000"/>
      </top>
      <bottom style="hair">
        <color rgb="FF000000"/>
      </bottom>
    </border>
    <border>
      <left style="medium">
        <color rgb="FFFFFFFF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FFFFFF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FFFFFF"/>
      </left>
      <top style="thick">
        <color rgb="FF000000"/>
      </top>
    </border>
    <border>
      <top style="thick">
        <color rgb="FF000000"/>
      </top>
    </border>
    <border>
      <right style="medium">
        <color rgb="FFFFFFFF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FFFFFF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FFFFFF"/>
      </right>
      <top style="thin">
        <color rgb="FF000000"/>
      </top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right style="thin">
        <color rgb="FF000000"/>
      </right>
      <top style="hair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0" fillId="0" fontId="4" numFmtId="0" xfId="0" applyFont="1"/>
    <xf borderId="1" fillId="2" fontId="4" numFmtId="0" xfId="0" applyAlignment="1" applyBorder="1" applyFont="1">
      <alignment readingOrder="0"/>
    </xf>
    <xf borderId="1" fillId="0" fontId="5" numFmtId="0" xfId="0" applyBorder="1" applyFont="1"/>
    <xf borderId="1" fillId="2" fontId="6" numFmtId="0" xfId="0" applyAlignment="1" applyBorder="1" applyFont="1">
      <alignment horizontal="center" readingOrder="0"/>
    </xf>
    <xf borderId="0" fillId="0" fontId="7" numFmtId="0" xfId="0" applyFont="1"/>
    <xf borderId="2" fillId="3" fontId="8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4" fontId="9" numFmtId="0" xfId="0" applyAlignment="1" applyBorder="1" applyFill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5" fontId="10" numFmtId="0" xfId="0" applyAlignment="1" applyBorder="1" applyFill="1" applyFont="1">
      <alignment readingOrder="0"/>
    </xf>
    <xf borderId="9" fillId="0" fontId="5" numFmtId="0" xfId="0" applyBorder="1" applyFont="1"/>
    <xf borderId="10" fillId="0" fontId="10" numFmtId="0" xfId="0" applyAlignment="1" applyBorder="1" applyFont="1">
      <alignment horizontal="left" readingOrder="0"/>
    </xf>
    <xf borderId="11" fillId="0" fontId="5" numFmtId="0" xfId="0" applyBorder="1" applyFont="1"/>
    <xf borderId="12" fillId="0" fontId="5" numFmtId="0" xfId="0" applyBorder="1" applyFont="1"/>
    <xf borderId="13" fillId="5" fontId="10" numFmtId="0" xfId="0" applyAlignment="1" applyBorder="1" applyFont="1">
      <alignment readingOrder="0"/>
    </xf>
    <xf borderId="14" fillId="0" fontId="5" numFmtId="0" xfId="0" applyBorder="1" applyFont="1"/>
    <xf borderId="15" fillId="0" fontId="10" numFmtId="0" xfId="0" applyAlignment="1" applyBorder="1" applyFont="1">
      <alignment horizontal="left" readingOrder="0"/>
    </xf>
    <xf borderId="16" fillId="0" fontId="5" numFmtId="0" xfId="0" applyBorder="1" applyFont="1"/>
    <xf borderId="17" fillId="0" fontId="5" numFmtId="0" xfId="0" applyBorder="1" applyFont="1"/>
    <xf borderId="13" fillId="0" fontId="10" numFmtId="0" xfId="0" applyAlignment="1" applyBorder="1" applyFont="1">
      <alignment readingOrder="0"/>
    </xf>
    <xf borderId="13" fillId="0" fontId="10" numFmtId="0" xfId="0" applyAlignment="1" applyBorder="1" applyFont="1">
      <alignment horizontal="left" readingOrder="0"/>
    </xf>
    <xf borderId="18" fillId="4" fontId="9" numFmtId="0" xfId="0" applyAlignment="1" applyBorder="1" applyFont="1">
      <alignment readingOrder="0"/>
    </xf>
    <xf borderId="19" fillId="0" fontId="5" numFmtId="0" xfId="0" applyBorder="1" applyFont="1"/>
    <xf borderId="20" fillId="0" fontId="5" numFmtId="0" xfId="0" applyBorder="1" applyFont="1"/>
    <xf borderId="1" fillId="5" fontId="10" numFmtId="0" xfId="0" applyAlignment="1" applyBorder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5" fontId="10" numFmtId="0" xfId="0" applyAlignment="1" applyFont="1">
      <alignment horizontal="center" readingOrder="0" shrinkToFit="0" wrapText="1"/>
    </xf>
    <xf borderId="0" fillId="4" fontId="10" numFmtId="0" xfId="0" applyAlignment="1" applyFont="1">
      <alignment horizontal="center" readingOrder="0" shrinkToFit="0" wrapText="1"/>
    </xf>
    <xf borderId="21" fillId="0" fontId="5" numFmtId="0" xfId="0" applyBorder="1" applyFont="1"/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5" fontId="10" numFmtId="0" xfId="0" applyAlignment="1" applyFont="1">
      <alignment horizontal="left" readingOrder="0"/>
    </xf>
    <xf borderId="22" fillId="5" fontId="10" numFmtId="0" xfId="0" applyAlignment="1" applyBorder="1" applyFont="1">
      <alignment horizontal="center" readingOrder="0"/>
    </xf>
    <xf borderId="23" fillId="0" fontId="5" numFmtId="0" xfId="0" applyBorder="1" applyFont="1"/>
    <xf borderId="23" fillId="5" fontId="10" numFmtId="0" xfId="0" applyAlignment="1" applyBorder="1" applyFont="1">
      <alignment horizontal="left" readingOrder="0"/>
    </xf>
    <xf borderId="24" fillId="0" fontId="5" numFmtId="0" xfId="0" applyBorder="1" applyFont="1"/>
    <xf borderId="0" fillId="2" fontId="4" numFmtId="0" xfId="0" applyFont="1"/>
    <xf borderId="0" fillId="2" fontId="3" numFmtId="0" xfId="0" applyAlignment="1" applyFont="1">
      <alignment horizontal="center" readingOrder="0" vertical="center"/>
    </xf>
    <xf borderId="0" fillId="0" fontId="11" numFmtId="0" xfId="0" applyAlignment="1" applyFont="1">
      <alignment readingOrder="0"/>
    </xf>
    <xf borderId="0" fillId="6" fontId="11" numFmtId="0" xfId="0" applyAlignment="1" applyFill="1" applyFont="1">
      <alignment readingOrder="0"/>
    </xf>
    <xf borderId="25" fillId="7" fontId="12" numFmtId="0" xfId="0" applyAlignment="1" applyBorder="1" applyFill="1" applyFont="1">
      <alignment horizontal="center" readingOrder="0"/>
    </xf>
    <xf borderId="26" fillId="0" fontId="5" numFmtId="0" xfId="0" applyBorder="1" applyFont="1"/>
    <xf borderId="27" fillId="0" fontId="5" numFmtId="0" xfId="0" applyBorder="1" applyFont="1"/>
    <xf borderId="28" fillId="8" fontId="8" numFmtId="0" xfId="0" applyAlignment="1" applyBorder="1" applyFill="1" applyFont="1">
      <alignment horizontal="center" readingOrder="0"/>
    </xf>
    <xf borderId="29" fillId="0" fontId="5" numFmtId="0" xfId="0" applyBorder="1" applyFont="1"/>
    <xf borderId="30" fillId="0" fontId="5" numFmtId="0" xfId="0" applyBorder="1" applyFont="1"/>
    <xf borderId="1" fillId="9" fontId="9" numFmtId="0" xfId="0" applyAlignment="1" applyBorder="1" applyFill="1" applyFont="1">
      <alignment readingOrder="0"/>
    </xf>
    <xf borderId="1" fillId="10" fontId="13" numFmtId="0" xfId="0" applyAlignment="1" applyBorder="1" applyFill="1" applyFont="1">
      <alignment readingOrder="0"/>
    </xf>
    <xf borderId="1" fillId="5" fontId="10" numFmtId="0" xfId="0" applyAlignment="1" applyBorder="1" applyFont="1">
      <alignment readingOrder="0"/>
    </xf>
    <xf borderId="1" fillId="5" fontId="10" numFmtId="0" xfId="0" applyAlignment="1" applyBorder="1" applyFont="1">
      <alignment readingOrder="0" shrinkToFit="0" wrapText="1"/>
    </xf>
    <xf borderId="0" fillId="0" fontId="10" numFmtId="3" xfId="0" applyAlignment="1" applyFont="1" applyNumberFormat="1">
      <alignment horizontal="left" readingOrder="0"/>
    </xf>
    <xf borderId="25" fillId="7" fontId="10" numFmtId="3" xfId="0" applyAlignment="1" applyBorder="1" applyFont="1" applyNumberFormat="1">
      <alignment horizontal="left" readingOrder="0"/>
    </xf>
    <xf borderId="0" fillId="5" fontId="10" numFmtId="3" xfId="0" applyAlignment="1" applyFont="1" applyNumberFormat="1">
      <alignment horizontal="left" readingOrder="0"/>
    </xf>
    <xf borderId="0" fillId="5" fontId="10" numFmtId="1" xfId="0" applyAlignment="1" applyFont="1" applyNumberFormat="1">
      <alignment horizontal="left" readingOrder="0"/>
    </xf>
    <xf borderId="31" fillId="5" fontId="10" numFmtId="0" xfId="0" applyAlignment="1" applyBorder="1" applyFont="1">
      <alignment readingOrder="0"/>
    </xf>
    <xf borderId="32" fillId="0" fontId="5" numFmtId="0" xfId="0" applyBorder="1" applyFont="1"/>
    <xf borderId="33" fillId="0" fontId="5" numFmtId="0" xfId="0" applyBorder="1" applyFont="1"/>
    <xf borderId="32" fillId="0" fontId="10" numFmtId="164" xfId="0" applyAlignment="1" applyBorder="1" applyFont="1" applyNumberFormat="1">
      <alignment horizontal="left" readingOrder="0"/>
    </xf>
    <xf borderId="34" fillId="0" fontId="5" numFmtId="0" xfId="0" applyBorder="1" applyFont="1"/>
    <xf borderId="0" fillId="0" fontId="4" numFmtId="0" xfId="0" applyAlignment="1" applyFont="1">
      <alignment readingOrder="0"/>
    </xf>
    <xf borderId="35" fillId="0" fontId="5" numFmtId="0" xfId="0" applyBorder="1" applyFont="1"/>
    <xf borderId="32" fillId="5" fontId="10" numFmtId="164" xfId="0" applyAlignment="1" applyBorder="1" applyFont="1" applyNumberFormat="1">
      <alignment horizontal="left" readingOrder="0"/>
    </xf>
    <xf borderId="36" fillId="0" fontId="10" numFmtId="164" xfId="0" applyAlignment="1" applyBorder="1" applyFont="1" applyNumberFormat="1">
      <alignment horizontal="left" readingOrder="0"/>
    </xf>
    <xf borderId="36" fillId="5" fontId="10" numFmtId="3" xfId="0" applyAlignment="1" applyBorder="1" applyFont="1" applyNumberFormat="1">
      <alignment horizontal="left" readingOrder="0"/>
    </xf>
    <xf borderId="11" fillId="5" fontId="10" numFmtId="1" xfId="0" applyAlignment="1" applyBorder="1" applyFont="1" applyNumberFormat="1">
      <alignment horizontal="left" readingOrder="0"/>
    </xf>
    <xf borderId="37" fillId="11" fontId="10" numFmtId="0" xfId="0" applyAlignment="1" applyBorder="1" applyFill="1" applyFont="1">
      <alignment readingOrder="0"/>
    </xf>
    <xf borderId="16" fillId="12" fontId="10" numFmtId="164" xfId="0" applyAlignment="1" applyBorder="1" applyFill="1" applyFont="1" applyNumberFormat="1">
      <alignment horizontal="left" readingOrder="0"/>
    </xf>
    <xf borderId="0" fillId="12" fontId="14" numFmtId="0" xfId="0" applyAlignment="1" applyFont="1">
      <alignment readingOrder="0"/>
    </xf>
    <xf borderId="38" fillId="5" fontId="15" numFmtId="0" xfId="0" applyAlignment="1" applyBorder="1" applyFont="1">
      <alignment readingOrder="0"/>
    </xf>
    <xf borderId="39" fillId="0" fontId="5" numFmtId="0" xfId="0" applyBorder="1" applyFont="1"/>
    <xf borderId="40" fillId="5" fontId="15" numFmtId="164" xfId="0" applyAlignment="1" applyBorder="1" applyFont="1" applyNumberFormat="1">
      <alignment horizontal="left" readingOrder="0"/>
    </xf>
    <xf borderId="0" fillId="11" fontId="10" numFmtId="0" xfId="0" applyAlignment="1" applyFont="1">
      <alignment readingOrder="0"/>
    </xf>
    <xf borderId="41" fillId="9" fontId="9" numFmtId="0" xfId="0" applyAlignment="1" applyBorder="1" applyFont="1">
      <alignment readingOrder="0"/>
    </xf>
    <xf borderId="42" fillId="0" fontId="5" numFmtId="0" xfId="0" applyBorder="1" applyFont="1"/>
    <xf borderId="43" fillId="0" fontId="5" numFmtId="0" xfId="0" applyBorder="1" applyFont="1"/>
    <xf borderId="44" fillId="5" fontId="10" numFmtId="0" xfId="0" applyAlignment="1" applyBorder="1" applyFont="1">
      <alignment horizontal="center" readingOrder="0" vertical="center"/>
    </xf>
    <xf borderId="37" fillId="5" fontId="10" numFmtId="0" xfId="0" applyAlignment="1" applyBorder="1" applyFont="1">
      <alignment horizontal="center" readingOrder="0" shrinkToFit="0" vertical="center" wrapText="1"/>
    </xf>
    <xf borderId="0" fillId="11" fontId="10" numFmtId="0" xfId="0" applyAlignment="1" applyFont="1">
      <alignment horizontal="left" readingOrder="0"/>
    </xf>
    <xf borderId="16" fillId="11" fontId="10" numFmtId="0" xfId="0" applyAlignment="1" applyBorder="1" applyFont="1">
      <alignment readingOrder="0"/>
    </xf>
    <xf borderId="44" fillId="5" fontId="10" numFmtId="0" xfId="0" applyAlignment="1" applyBorder="1" applyFont="1">
      <alignment readingOrder="0"/>
    </xf>
    <xf borderId="37" fillId="0" fontId="10" numFmtId="164" xfId="0" applyAlignment="1" applyBorder="1" applyFont="1" applyNumberFormat="1">
      <alignment horizontal="left" readingOrder="0"/>
    </xf>
    <xf borderId="45" fillId="5" fontId="10" numFmtId="0" xfId="0" applyAlignment="1" applyBorder="1" applyFont="1">
      <alignment readingOrder="0"/>
    </xf>
    <xf borderId="46" fillId="0" fontId="10" numFmtId="164" xfId="0" applyAlignment="1" applyBorder="1" applyFont="1" applyNumberFormat="1">
      <alignment horizontal="left" readingOrder="0"/>
    </xf>
    <xf borderId="38" fillId="5" fontId="15" numFmtId="0" xfId="0" applyAlignment="1" applyBorder="1" applyFont="1">
      <alignment horizontal="left" readingOrder="0"/>
    </xf>
    <xf borderId="31" fillId="5" fontId="10" numFmtId="0" xfId="0" applyAlignment="1" applyBorder="1" applyFont="1">
      <alignment horizontal="left" readingOrder="0" shrinkToFit="0" wrapText="1"/>
    </xf>
    <xf borderId="32" fillId="5" fontId="10" numFmtId="0" xfId="0" applyAlignment="1" applyBorder="1" applyFont="1">
      <alignment horizontal="left" readingOrder="0"/>
    </xf>
    <xf borderId="8" fillId="5" fontId="10" numFmtId="0" xfId="0" applyAlignment="1" applyBorder="1" applyFont="1">
      <alignment horizontal="left" readingOrder="0" shrinkToFit="0" wrapText="1"/>
    </xf>
    <xf borderId="37" fillId="0" fontId="10" numFmtId="0" xfId="0" applyAlignment="1" applyBorder="1" applyFont="1">
      <alignment horizontal="left" readingOrder="0"/>
    </xf>
    <xf borderId="47" fillId="0" fontId="5" numFmtId="0" xfId="0" applyBorder="1" applyFont="1"/>
    <xf borderId="8" fillId="5" fontId="10" numFmtId="0" xfId="0" applyAlignment="1" applyBorder="1" applyFont="1">
      <alignment horizontal="left" readingOrder="0"/>
    </xf>
    <xf borderId="11" fillId="5" fontId="10" numFmtId="164" xfId="0" applyAlignment="1" applyBorder="1" applyFont="1" applyNumberFormat="1">
      <alignment horizontal="left" readingOrder="0"/>
    </xf>
    <xf borderId="13" fillId="5" fontId="10" numFmtId="0" xfId="0" applyAlignment="1" applyBorder="1" applyFont="1">
      <alignment horizontal="left" readingOrder="0"/>
    </xf>
    <xf borderId="16" fillId="0" fontId="10" numFmtId="0" xfId="0" applyAlignment="1" applyBorder="1" applyFont="1">
      <alignment horizontal="left" readingOrder="0"/>
    </xf>
    <xf borderId="48" fillId="9" fontId="9" numFmtId="0" xfId="0" applyAlignment="1" applyBorder="1" applyFont="1">
      <alignment readingOrder="0"/>
    </xf>
    <xf borderId="49" fillId="0" fontId="5" numFmtId="0" xfId="0" applyBorder="1" applyFont="1"/>
    <xf borderId="50" fillId="0" fontId="5" numFmtId="0" xfId="0" applyBorder="1" applyFont="1"/>
    <xf borderId="0" fillId="5" fontId="10" numFmtId="164" xfId="0" applyAlignment="1" applyFont="1" applyNumberFormat="1">
      <alignment horizontal="center" readingOrder="0" shrinkToFit="0" wrapText="1"/>
    </xf>
    <xf borderId="0" fillId="11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left" readingOrder="0"/>
    </xf>
    <xf borderId="0" fillId="5" fontId="10" numFmtId="165" xfId="0" applyAlignment="1" applyFont="1" applyNumberFormat="1">
      <alignment horizontal="center" readingOrder="0" shrinkToFit="0" wrapText="1"/>
    </xf>
    <xf borderId="1" fillId="12" fontId="10" numFmtId="0" xfId="0" applyAlignment="1" applyBorder="1" applyFont="1">
      <alignment readingOrder="0"/>
    </xf>
    <xf borderId="0" fillId="12" fontId="10" numFmtId="164" xfId="0" applyAlignment="1" applyFont="1" applyNumberFormat="1">
      <alignment horizontal="left" readingOrder="0"/>
    </xf>
    <xf borderId="1" fillId="0" fontId="10" numFmtId="0" xfId="0" applyAlignment="1" applyBorder="1" applyFont="1">
      <alignment horizontal="left" readingOrder="0"/>
    </xf>
    <xf borderId="0" fillId="5" fontId="10" numFmtId="164" xfId="0" applyAlignment="1" applyFont="1" applyNumberFormat="1">
      <alignment horizontal="left" readingOrder="0"/>
    </xf>
    <xf borderId="1" fillId="10" fontId="10" numFmtId="0" xfId="0" applyAlignment="1" applyBorder="1" applyFont="1">
      <alignment readingOrder="0"/>
    </xf>
    <xf borderId="0" fillId="11" fontId="10" numFmtId="164" xfId="0" applyAlignment="1" applyFont="1" applyNumberFormat="1">
      <alignment horizontal="left" readingOrder="0"/>
    </xf>
    <xf borderId="1" fillId="10" fontId="13" numFmtId="0" xfId="0" applyAlignment="1" applyBorder="1" applyFont="1">
      <alignment horizontal="left" readingOrder="0"/>
    </xf>
    <xf borderId="0" fillId="10" fontId="13" numFmtId="0" xfId="0" applyAlignment="1" applyFont="1">
      <alignment horizontal="center" readingOrder="0" shrinkToFit="0" wrapText="1"/>
    </xf>
    <xf borderId="0" fillId="11" fontId="13" numFmtId="0" xfId="0" applyAlignment="1" applyFont="1">
      <alignment horizontal="center" readingOrder="0"/>
    </xf>
    <xf borderId="1" fillId="5" fontId="16" numFmtId="0" xfId="0" applyAlignment="1" applyBorder="1" applyFont="1">
      <alignment readingOrder="0"/>
    </xf>
    <xf borderId="0" fillId="0" fontId="10" numFmtId="165" xfId="0" applyAlignment="1" applyFont="1" applyNumberFormat="1">
      <alignment horizontal="left" readingOrder="0"/>
    </xf>
    <xf borderId="1" fillId="5" fontId="17" numFmtId="0" xfId="0" applyAlignment="1" applyBorder="1" applyFont="1">
      <alignment readingOrder="0"/>
    </xf>
    <xf borderId="0" fillId="5" fontId="17" numFmtId="164" xfId="0" applyAlignment="1" applyFont="1" applyNumberFormat="1">
      <alignment horizontal="left" readingOrder="0"/>
    </xf>
    <xf borderId="0" fillId="10" fontId="13" numFmtId="164" xfId="0" applyAlignment="1" applyFont="1" applyNumberFormat="1">
      <alignment horizontal="left" readingOrder="0"/>
    </xf>
    <xf borderId="1" fillId="5" fontId="10" numFmtId="0" xfId="0" applyAlignment="1" applyBorder="1" applyFont="1">
      <alignment horizontal="left" readingOrder="0"/>
    </xf>
    <xf borderId="48" fillId="9" fontId="9" numFmtId="0" xfId="0" applyAlignment="1" applyBorder="1" applyFont="1">
      <alignment horizontal="left" readingOrder="0"/>
    </xf>
    <xf borderId="1" fillId="5" fontId="15" numFmtId="0" xfId="0" applyAlignment="1" applyBorder="1" applyFont="1">
      <alignment horizontal="left" readingOrder="0"/>
    </xf>
    <xf borderId="0" fillId="5" fontId="15" numFmtId="164" xfId="0" applyAlignment="1" applyFont="1" applyNumberFormat="1">
      <alignment horizontal="left" readingOrder="0"/>
    </xf>
    <xf borderId="51" fillId="13" fontId="8" numFmtId="0" xfId="0" applyAlignment="1" applyBorder="1" applyFill="1" applyFont="1">
      <alignment horizontal="left" readingOrder="0"/>
    </xf>
    <xf borderId="49" fillId="13" fontId="8" numFmtId="164" xfId="0" applyAlignment="1" applyBorder="1" applyFont="1" applyNumberFormat="1">
      <alignment horizontal="left" readingOrder="0"/>
    </xf>
    <xf borderId="52" fillId="0" fontId="5" numFmtId="0" xfId="0" applyBorder="1" applyFont="1"/>
    <xf borderId="53" fillId="5" fontId="18" numFmtId="0" xfId="0" applyAlignment="1" applyBorder="1" applyFont="1">
      <alignment readingOrder="0"/>
    </xf>
    <xf borderId="0" fillId="12" fontId="18" numFmtId="164" xfId="0" applyAlignment="1" applyFont="1" applyNumberFormat="1">
      <alignment horizontal="left" readingOrder="0"/>
    </xf>
    <xf borderId="54" fillId="0" fontId="5" numFmtId="0" xfId="0" applyBorder="1" applyFont="1"/>
    <xf borderId="25" fillId="7" fontId="19" numFmtId="164" xfId="0" applyAlignment="1" applyBorder="1" applyFont="1" applyNumberFormat="1">
      <alignment horizontal="left" readingOrder="0"/>
    </xf>
    <xf borderId="0" fillId="5" fontId="18" numFmtId="164" xfId="0" applyAlignment="1" applyFont="1" applyNumberFormat="1">
      <alignment horizontal="left" readingOrder="0"/>
    </xf>
    <xf borderId="0" fillId="5" fontId="18" numFmtId="1" xfId="0" applyAlignment="1" applyFont="1" applyNumberFormat="1">
      <alignment horizontal="left" readingOrder="0"/>
    </xf>
    <xf borderId="53" fillId="13" fontId="8" numFmtId="0" xfId="0" applyAlignment="1" applyBorder="1" applyFont="1">
      <alignment horizontal="left" readingOrder="0"/>
    </xf>
    <xf borderId="0" fillId="13" fontId="8" numFmtId="166" xfId="0" applyAlignment="1" applyFont="1" applyNumberFormat="1">
      <alignment horizontal="left" readingOrder="0"/>
    </xf>
    <xf borderId="0" fillId="0" fontId="4" numFmtId="167" xfId="0" applyAlignment="1" applyFont="1" applyNumberFormat="1">
      <alignment readingOrder="0"/>
    </xf>
    <xf borderId="0" fillId="5" fontId="18" numFmtId="1" xfId="0" applyAlignment="1" applyFont="1" applyNumberFormat="1">
      <alignment horizontal="left"/>
    </xf>
    <xf borderId="53" fillId="5" fontId="20" numFmtId="0" xfId="0" applyAlignment="1" applyBorder="1" applyFont="1">
      <alignment horizontal="left" readingOrder="0" shrinkToFit="0" wrapText="1"/>
    </xf>
    <xf borderId="0" fillId="5" fontId="20" numFmtId="3" xfId="0" applyAlignment="1" applyFont="1" applyNumberFormat="1">
      <alignment horizontal="left" vertical="center"/>
    </xf>
    <xf borderId="53" fillId="13" fontId="8" numFmtId="0" xfId="0" applyAlignment="1" applyBorder="1" applyFont="1">
      <alignment horizontal="left" readingOrder="0" shrinkToFit="0" vertical="center" wrapText="1"/>
    </xf>
    <xf borderId="0" fillId="13" fontId="8" numFmtId="166" xfId="0" applyAlignment="1" applyFont="1" applyNumberFormat="1">
      <alignment horizontal="left" vertical="center"/>
    </xf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0" fontId="5" numFmtId="0" xfId="0" applyBorder="1" applyFont="1"/>
    <xf borderId="60" fillId="0" fontId="5" numFmtId="0" xfId="0" applyBorder="1" applyFont="1"/>
    <xf borderId="21" fillId="2" fontId="1" numFmtId="0" xfId="0" applyBorder="1" applyFont="1"/>
    <xf borderId="0" fillId="0" fontId="2" numFmtId="0" xfId="0" applyAlignment="1" applyFont="1">
      <alignment horizontal="center" readingOrder="0" vertical="center"/>
    </xf>
    <xf borderId="0" fillId="2" fontId="4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2" fillId="14" fontId="8" numFmtId="0" xfId="0" applyAlignment="1" applyBorder="1" applyFill="1" applyFont="1">
      <alignment horizontal="center" readingOrder="0"/>
    </xf>
    <xf borderId="48" fillId="15" fontId="15" numFmtId="0" xfId="0" applyAlignment="1" applyBorder="1" applyFill="1" applyFont="1">
      <alignment readingOrder="0"/>
    </xf>
    <xf borderId="32" fillId="0" fontId="10" numFmtId="168" xfId="0" applyAlignment="1" applyBorder="1" applyFont="1" applyNumberFormat="1">
      <alignment horizontal="left" readingOrder="0"/>
    </xf>
    <xf borderId="11" fillId="0" fontId="10" numFmtId="0" xfId="0" applyAlignment="1" applyBorder="1" applyFont="1">
      <alignment horizontal="left" readingOrder="0"/>
    </xf>
    <xf borderId="32" fillId="0" fontId="10" numFmtId="0" xfId="0" applyAlignment="1" applyBorder="1" applyFont="1">
      <alignment horizontal="left" readingOrder="0"/>
    </xf>
    <xf borderId="31" fillId="5" fontId="10" numFmtId="0" xfId="0" applyAlignment="1" applyBorder="1" applyFont="1">
      <alignment readingOrder="0" shrinkToFit="0" wrapText="1"/>
    </xf>
    <xf borderId="1" fillId="5" fontId="10" numFmtId="0" xfId="0" applyAlignment="1" applyBorder="1" applyFont="1">
      <alignment readingOrder="0" shrinkToFit="0" vertical="center" wrapText="1"/>
    </xf>
    <xf borderId="61" fillId="5" fontId="15" numFmtId="0" xfId="0" applyAlignment="1" applyBorder="1" applyFont="1">
      <alignment horizontal="center" readingOrder="0" shrinkToFit="0" vertical="center" wrapText="1"/>
    </xf>
    <xf borderId="62" fillId="0" fontId="5" numFmtId="0" xfId="0" applyBorder="1" applyFont="1"/>
    <xf borderId="63" fillId="0" fontId="18" numFmtId="164" xfId="0" applyAlignment="1" applyBorder="1" applyFont="1" applyNumberFormat="1">
      <alignment horizontal="left" readingOrder="0"/>
    </xf>
    <xf borderId="64" fillId="0" fontId="5" numFmtId="0" xfId="0" applyBorder="1" applyFont="1"/>
    <xf borderId="31" fillId="0" fontId="5" numFmtId="0" xfId="0" applyBorder="1" applyFont="1"/>
    <xf borderId="65" fillId="5" fontId="18" numFmtId="0" xfId="0" applyAlignment="1" applyBorder="1" applyFont="1">
      <alignment horizontal="center" readingOrder="0" shrinkToFit="0" wrapText="1"/>
    </xf>
    <xf borderId="66" fillId="0" fontId="5" numFmtId="0" xfId="0" applyBorder="1" applyFont="1"/>
    <xf borderId="67" fillId="5" fontId="18" numFmtId="164" xfId="0" applyAlignment="1" applyBorder="1" applyFont="1" applyNumberFormat="1">
      <alignment horizontal="left" readingOrder="0"/>
    </xf>
    <xf borderId="68" fillId="0" fontId="5" numFmtId="0" xfId="0" applyBorder="1" applyFont="1"/>
    <xf borderId="69" fillId="5" fontId="10" numFmtId="0" xfId="0" applyAlignment="1" applyBorder="1" applyFont="1">
      <alignment readingOrder="0" shrinkToFit="0" vertical="bottom" wrapText="1"/>
    </xf>
    <xf borderId="70" fillId="0" fontId="5" numFmtId="0" xfId="0" applyBorder="1" applyFont="1"/>
    <xf borderId="70" fillId="16" fontId="10" numFmtId="164" xfId="0" applyAlignment="1" applyBorder="1" applyFill="1" applyFont="1" applyNumberFormat="1">
      <alignment horizontal="left" readingOrder="0" shrinkToFit="0" vertical="bottom" wrapText="1"/>
    </xf>
    <xf borderId="71" fillId="0" fontId="5" numFmtId="0" xfId="0" applyBorder="1" applyFont="1"/>
    <xf borderId="41" fillId="15" fontId="15" numFmtId="0" xfId="0" applyAlignment="1" applyBorder="1" applyFont="1">
      <alignment readingOrder="0"/>
    </xf>
    <xf borderId="44" fillId="10" fontId="10" numFmtId="0" xfId="0" applyAlignment="1" applyBorder="1" applyFont="1">
      <alignment readingOrder="0"/>
    </xf>
    <xf borderId="37" fillId="5" fontId="10" numFmtId="0" xfId="0" applyAlignment="1" applyBorder="1" applyFont="1">
      <alignment readingOrder="0"/>
    </xf>
    <xf borderId="37" fillId="0" fontId="10" numFmtId="0" xfId="0" applyAlignment="1" applyBorder="1" applyFont="1">
      <alignment readingOrder="0"/>
    </xf>
    <xf borderId="18" fillId="5" fontId="15" numFmtId="0" xfId="0" applyAlignment="1" applyBorder="1" applyFont="1">
      <alignment horizontal="center" readingOrder="0"/>
    </xf>
    <xf borderId="19" fillId="0" fontId="18" numFmtId="164" xfId="0" applyAlignment="1" applyBorder="1" applyFont="1" applyNumberFormat="1">
      <alignment horizontal="left" readingOrder="0"/>
    </xf>
    <xf borderId="1" fillId="5" fontId="18" numFmtId="0" xfId="0" applyAlignment="1" applyBorder="1" applyFont="1">
      <alignment horizontal="center" readingOrder="0"/>
    </xf>
    <xf borderId="0" fillId="0" fontId="18" numFmtId="164" xfId="0" applyAlignment="1" applyFont="1" applyNumberFormat="1">
      <alignment horizontal="left" readingOrder="0"/>
    </xf>
    <xf borderId="70" fillId="16" fontId="10" numFmtId="164" xfId="0" applyAlignment="1" applyBorder="1" applyFont="1" applyNumberFormat="1">
      <alignment horizontal="left" shrinkToFit="0" vertical="bottom" wrapText="1"/>
    </xf>
    <xf borderId="48" fillId="15" fontId="15" numFmtId="0" xfId="0" applyAlignment="1" applyBorder="1" applyFont="1">
      <alignment readingOrder="0" vertical="bottom"/>
    </xf>
    <xf borderId="1" fillId="16" fontId="10" numFmtId="0" xfId="0" applyAlignment="1" applyBorder="1" applyFont="1">
      <alignment readingOrder="0"/>
    </xf>
    <xf borderId="1" fillId="12" fontId="21" numFmtId="0" xfId="0" applyAlignment="1" applyBorder="1" applyFont="1">
      <alignment readingOrder="0" shrinkToFit="0" wrapText="1"/>
    </xf>
    <xf borderId="0" fillId="12" fontId="22" numFmtId="0" xfId="0" applyAlignment="1" applyFont="1">
      <alignment horizontal="left" readingOrder="0"/>
    </xf>
    <xf borderId="0" fillId="16" fontId="10" numFmtId="0" xfId="0" applyAlignment="1" applyFont="1">
      <alignment readingOrder="0"/>
    </xf>
    <xf borderId="0" fillId="12" fontId="23" numFmtId="0" xfId="0" applyAlignment="1" applyFont="1">
      <alignment readingOrder="0"/>
    </xf>
    <xf borderId="1" fillId="16" fontId="10" numFmtId="0" xfId="0" applyAlignment="1" applyBorder="1" applyFont="1">
      <alignment horizontal="left" readingOrder="0"/>
    </xf>
    <xf borderId="21" fillId="12" fontId="10" numFmtId="164" xfId="0" applyAlignment="1" applyBorder="1" applyFont="1" applyNumberFormat="1">
      <alignment horizontal="left" readingOrder="0"/>
    </xf>
    <xf borderId="49" fillId="15" fontId="19" numFmtId="0" xfId="0" applyAlignment="1" applyBorder="1" applyFont="1">
      <alignment horizontal="left" readingOrder="0"/>
    </xf>
    <xf borderId="1" fillId="10" fontId="13" numFmtId="0" xfId="0" applyAlignment="1" applyBorder="1" applyFont="1">
      <alignment horizontal="center" readingOrder="0"/>
    </xf>
    <xf borderId="0" fillId="10" fontId="13" numFmtId="0" xfId="0" applyAlignment="1" applyFont="1">
      <alignment horizontal="center" readingOrder="0"/>
    </xf>
    <xf borderId="11" fillId="10" fontId="13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horizontal="left" readingOrder="0"/>
    </xf>
    <xf borderId="0" fillId="0" fontId="10" numFmtId="164" xfId="0" applyAlignment="1" applyFont="1" applyNumberFormat="1">
      <alignment horizontal="center" readingOrder="0"/>
    </xf>
    <xf borderId="1" fillId="5" fontId="23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21" fillId="0" fontId="4" numFmtId="0" xfId="0" applyBorder="1" applyFont="1"/>
    <xf borderId="19" fillId="12" fontId="18" numFmtId="164" xfId="0" applyAlignment="1" applyBorder="1" applyFont="1" applyNumberFormat="1">
      <alignment horizontal="left" readingOrder="0"/>
    </xf>
    <xf borderId="8" fillId="5" fontId="10" numFmtId="0" xfId="0" applyAlignment="1" applyBorder="1" applyFont="1">
      <alignment horizontal="center" readingOrder="0"/>
    </xf>
    <xf borderId="37" fillId="5" fontId="10" numFmtId="0" xfId="0" applyAlignment="1" applyBorder="1" applyFont="1">
      <alignment horizontal="center" readingOrder="0"/>
    </xf>
    <xf borderId="8" fillId="16" fontId="10" numFmtId="0" xfId="0" applyAlignment="1" applyBorder="1" applyFont="1">
      <alignment horizontal="left" readingOrder="0"/>
    </xf>
    <xf borderId="8" fillId="0" fontId="10" numFmtId="0" xfId="0" applyAlignment="1" applyBorder="1" applyFont="1">
      <alignment horizontal="left" readingOrder="0"/>
    </xf>
    <xf borderId="72" fillId="0" fontId="5" numFmtId="0" xfId="0" applyBorder="1" applyFont="1"/>
    <xf borderId="19" fillId="5" fontId="15" numFmtId="0" xfId="0" applyAlignment="1" applyBorder="1" applyFont="1">
      <alignment horizontal="center" readingOrder="0"/>
    </xf>
    <xf borderId="0" fillId="5" fontId="18" numFmtId="0" xfId="0" applyAlignment="1" applyFont="1">
      <alignment horizontal="center" readingOrder="0"/>
    </xf>
    <xf borderId="51" fillId="14" fontId="8" numFmtId="0" xfId="0" applyAlignment="1" applyBorder="1" applyFont="1">
      <alignment horizontal="center" readingOrder="0"/>
    </xf>
    <xf borderId="49" fillId="14" fontId="8" numFmtId="164" xfId="0" applyAlignment="1" applyBorder="1" applyFont="1" applyNumberFormat="1">
      <alignment horizontal="left" vertical="center"/>
    </xf>
    <xf borderId="0" fillId="5" fontId="18" numFmtId="164" xfId="0" applyAlignment="1" applyFont="1" applyNumberFormat="1">
      <alignment horizontal="left"/>
    </xf>
    <xf borderId="73" fillId="14" fontId="8" numFmtId="0" xfId="0" applyAlignment="1" applyBorder="1" applyFont="1">
      <alignment horizontal="center" readingOrder="0"/>
    </xf>
    <xf borderId="74" fillId="0" fontId="5" numFmtId="0" xfId="0" applyBorder="1" applyFont="1"/>
    <xf borderId="74" fillId="14" fontId="8" numFmtId="164" xfId="0" applyAlignment="1" applyBorder="1" applyFont="1" applyNumberFormat="1">
      <alignment horizontal="left" vertical="center"/>
    </xf>
    <xf borderId="75" fillId="0" fontId="5" numFmtId="0" xfId="0" applyBorder="1" applyFont="1"/>
    <xf borderId="0" fillId="17" fontId="4" numFmtId="0" xfId="0" applyFill="1" applyFont="1"/>
    <xf borderId="2" fillId="18" fontId="8" numFmtId="0" xfId="0" applyAlignment="1" applyBorder="1" applyFill="1" applyFont="1">
      <alignment horizontal="center" readingOrder="0"/>
    </xf>
    <xf borderId="18" fillId="19" fontId="15" numFmtId="0" xfId="0" applyAlignment="1" applyBorder="1" applyFill="1" applyFont="1">
      <alignment horizontal="left" readingOrder="0"/>
    </xf>
    <xf borderId="1" fillId="20" fontId="10" numFmtId="0" xfId="0" applyAlignment="1" applyBorder="1" applyFill="1" applyFont="1">
      <alignment readingOrder="0"/>
    </xf>
    <xf borderId="0" fillId="5" fontId="10" numFmtId="0" xfId="0" applyAlignment="1" applyFont="1">
      <alignment readingOrder="0"/>
    </xf>
    <xf borderId="31" fillId="20" fontId="10" numFmtId="0" xfId="0" applyAlignment="1" applyBorder="1" applyFont="1">
      <alignment readingOrder="0"/>
    </xf>
    <xf borderId="32" fillId="5" fontId="10" numFmtId="168" xfId="0" applyAlignment="1" applyBorder="1" applyFont="1" applyNumberFormat="1">
      <alignment horizontal="left" readingOrder="0"/>
    </xf>
    <xf borderId="0" fillId="5" fontId="10" numFmtId="168" xfId="0" applyAlignment="1" applyFont="1" applyNumberFormat="1">
      <alignment horizontal="left" readingOrder="0"/>
    </xf>
    <xf borderId="5" fillId="19" fontId="15" numFmtId="0" xfId="0" applyAlignment="1" applyBorder="1" applyFont="1">
      <alignment horizontal="left" readingOrder="0"/>
    </xf>
    <xf borderId="31" fillId="5" fontId="23" numFmtId="0" xfId="0" applyAlignment="1" applyBorder="1" applyFont="1">
      <alignment horizontal="left" readingOrder="0"/>
    </xf>
    <xf borderId="76" fillId="5" fontId="23" numFmtId="0" xfId="0" applyAlignment="1" applyBorder="1" applyFont="1">
      <alignment horizontal="left" readingOrder="0"/>
    </xf>
    <xf borderId="10" fillId="5" fontId="10" numFmtId="0" xfId="0" applyAlignment="1" applyBorder="1" applyFont="1">
      <alignment horizontal="left" readingOrder="0"/>
    </xf>
    <xf borderId="8" fillId="5" fontId="23" numFmtId="0" xfId="0" applyAlignment="1" applyBorder="1" applyFont="1">
      <alignment horizontal="left" readingOrder="0"/>
    </xf>
    <xf borderId="10" fillId="5" fontId="23" numFmtId="0" xfId="0" applyAlignment="1" applyBorder="1" applyFont="1">
      <alignment horizontal="left" readingOrder="0"/>
    </xf>
    <xf borderId="15" fillId="5" fontId="10" numFmtId="0" xfId="0" applyAlignment="1" applyBorder="1" applyFont="1">
      <alignment horizontal="left" readingOrder="0"/>
    </xf>
    <xf borderId="77" fillId="19" fontId="15" numFmtId="0" xfId="0" applyAlignment="1" applyBorder="1" applyFont="1">
      <alignment horizontal="left" readingOrder="0"/>
    </xf>
    <xf borderId="78" fillId="0" fontId="5" numFmtId="0" xfId="0" applyBorder="1" applyFont="1"/>
    <xf borderId="78" fillId="5" fontId="15" numFmtId="164" xfId="0" applyAlignment="1" applyBorder="1" applyFont="1" applyNumberFormat="1">
      <alignment horizontal="left" readingOrder="0"/>
    </xf>
    <xf borderId="79" fillId="0" fontId="5" numFmtId="0" xfId="0" applyBorder="1" applyFont="1"/>
    <xf borderId="80" fillId="19" fontId="15" numFmtId="0" xfId="0" applyAlignment="1" applyBorder="1" applyFont="1">
      <alignment horizontal="left" readingOrder="0"/>
    </xf>
    <xf borderId="19" fillId="5" fontId="15" numFmtId="164" xfId="0" applyAlignment="1" applyBorder="1" applyFont="1" applyNumberFormat="1">
      <alignment horizontal="left" readingOrder="0"/>
    </xf>
    <xf borderId="81" fillId="0" fontId="5" numFmtId="0" xfId="0" applyBorder="1" applyFont="1"/>
    <xf borderId="82" fillId="20" fontId="10" numFmtId="0" xfId="0" applyAlignment="1" applyBorder="1" applyFont="1">
      <alignment readingOrder="0"/>
    </xf>
    <xf borderId="83" fillId="0" fontId="5" numFmtId="0" xfId="0" applyBorder="1" applyFont="1"/>
    <xf borderId="84" fillId="20" fontId="10" numFmtId="0" xfId="0" applyAlignment="1" applyBorder="1" applyFont="1">
      <alignment readingOrder="0"/>
    </xf>
    <xf borderId="85" fillId="0" fontId="5" numFmtId="0" xfId="0" applyBorder="1" applyFont="1"/>
    <xf borderId="86" fillId="20" fontId="10" numFmtId="0" xfId="0" applyAlignment="1" applyBorder="1" applyFont="1">
      <alignment readingOrder="0"/>
    </xf>
    <xf borderId="87" fillId="0" fontId="5" numFmtId="0" xfId="0" applyBorder="1" applyFont="1"/>
    <xf borderId="87" fillId="5" fontId="10" numFmtId="164" xfId="0" applyAlignment="1" applyBorder="1" applyFont="1" applyNumberFormat="1">
      <alignment horizontal="left" readingOrder="0"/>
    </xf>
    <xf borderId="88" fillId="0" fontId="5" numFmtId="0" xfId="0" applyBorder="1" applyFont="1"/>
  </cellXfs>
  <cellStyles count="1">
    <cellStyle xfId="0" name="Normal" builtinId="0"/>
  </cellStyles>
  <dxfs count="3">
    <dxf>
      <font>
        <color rgb="FF8E7CC3"/>
      </font>
      <fill>
        <patternFill patternType="solid">
          <fgColor rgb="FF8E7CC3"/>
          <bgColor rgb="FF8E7CC3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tin.es/reserva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7.63"/>
    <col customWidth="1" min="3" max="3" width="21.63"/>
    <col customWidth="1" min="4" max="4" width="15.0"/>
    <col customWidth="1" min="5" max="5" width="13.88"/>
    <col customWidth="1" min="8" max="8" width="9.25"/>
  </cols>
  <sheetData>
    <row r="1" ht="77.25" customHeight="1">
      <c r="A1" s="1"/>
      <c r="B1" s="2" t="s">
        <v>0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7" t="s">
        <v>1</v>
      </c>
      <c r="H3" s="6"/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9" t="s">
        <v>2</v>
      </c>
      <c r="C4" s="10"/>
      <c r="D4" s="10"/>
      <c r="E4" s="10"/>
      <c r="F4" s="10"/>
      <c r="G4" s="11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2" t="s">
        <v>3</v>
      </c>
      <c r="C5" s="13"/>
      <c r="D5" s="13"/>
      <c r="E5" s="13"/>
      <c r="F5" s="13"/>
      <c r="G5" s="14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15" t="s">
        <v>4</v>
      </c>
      <c r="C6" s="16"/>
      <c r="D6" s="17" t="s">
        <v>5</v>
      </c>
      <c r="E6" s="18"/>
      <c r="F6" s="18"/>
      <c r="G6" s="19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20" t="s">
        <v>6</v>
      </c>
      <c r="C7" s="21"/>
      <c r="D7" s="22">
        <v>3.0</v>
      </c>
      <c r="E7" s="23"/>
      <c r="F7" s="23"/>
      <c r="G7" s="24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12" t="s">
        <v>7</v>
      </c>
      <c r="C8" s="13"/>
      <c r="D8" s="13"/>
      <c r="E8" s="13"/>
      <c r="F8" s="13"/>
      <c r="G8" s="14"/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25" t="s">
        <v>8</v>
      </c>
      <c r="C9" s="23"/>
      <c r="D9" s="23"/>
      <c r="E9" s="23"/>
      <c r="F9" s="23"/>
      <c r="G9" s="24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12" t="s">
        <v>9</v>
      </c>
      <c r="C10" s="13"/>
      <c r="D10" s="13"/>
      <c r="E10" s="13"/>
      <c r="F10" s="13"/>
      <c r="G10" s="14"/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26" t="s">
        <v>10</v>
      </c>
      <c r="C11" s="23"/>
      <c r="D11" s="23"/>
      <c r="E11" s="23"/>
      <c r="F11" s="23"/>
      <c r="G11" s="24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27" t="s">
        <v>11</v>
      </c>
      <c r="C12" s="28"/>
      <c r="D12" s="28"/>
      <c r="E12" s="28"/>
      <c r="F12" s="28"/>
      <c r="G12" s="29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30" t="s">
        <v>12</v>
      </c>
      <c r="C13" s="31" t="s">
        <v>13</v>
      </c>
      <c r="D13" s="32" t="s">
        <v>14</v>
      </c>
      <c r="E13" s="33"/>
      <c r="G13" s="34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35" t="s">
        <v>15</v>
      </c>
      <c r="C14" s="36" t="s">
        <v>16</v>
      </c>
      <c r="D14" s="37">
        <v>3.0</v>
      </c>
      <c r="G14" s="34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35" t="s">
        <v>17</v>
      </c>
      <c r="C15" s="36" t="s">
        <v>16</v>
      </c>
      <c r="D15" s="37">
        <v>2.0</v>
      </c>
      <c r="G15" s="34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35" t="s">
        <v>18</v>
      </c>
      <c r="C16" s="36" t="s">
        <v>16</v>
      </c>
      <c r="D16" s="37">
        <v>2.0</v>
      </c>
      <c r="G16" s="34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B17" s="35" t="s">
        <v>19</v>
      </c>
      <c r="C17" s="36" t="s">
        <v>20</v>
      </c>
      <c r="D17" s="37">
        <v>3.0</v>
      </c>
      <c r="G17" s="34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35" t="s">
        <v>21</v>
      </c>
      <c r="C18" s="36" t="s">
        <v>20</v>
      </c>
      <c r="D18" s="37">
        <v>2.0</v>
      </c>
      <c r="G18" s="34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B19" s="35"/>
      <c r="C19" s="36"/>
      <c r="D19" s="37"/>
      <c r="G19" s="34"/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30" t="s">
        <v>22</v>
      </c>
      <c r="D20" s="38">
        <f>SUM(D14:D19)</f>
        <v>12</v>
      </c>
      <c r="G20" s="34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B21" s="39" t="s">
        <v>23</v>
      </c>
      <c r="C21" s="40"/>
      <c r="D21" s="41">
        <f>D20+1</f>
        <v>13</v>
      </c>
      <c r="E21" s="40"/>
      <c r="F21" s="40"/>
      <c r="G21" s="42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</sheetData>
  <mergeCells count="20">
    <mergeCell ref="B6:C6"/>
    <mergeCell ref="D6:G6"/>
    <mergeCell ref="B7:C7"/>
    <mergeCell ref="D7:G7"/>
    <mergeCell ref="B8:G8"/>
    <mergeCell ref="B9:G9"/>
    <mergeCell ref="B10:G10"/>
    <mergeCell ref="B11:G11"/>
    <mergeCell ref="B12:G12"/>
    <mergeCell ref="E13:G21"/>
    <mergeCell ref="B20:C20"/>
    <mergeCell ref="B21:C21"/>
    <mergeCell ref="A1:A21"/>
    <mergeCell ref="B1:G1"/>
    <mergeCell ref="H1:H21"/>
    <mergeCell ref="B2:G2"/>
    <mergeCell ref="B3:G3"/>
    <mergeCell ref="B4:G4"/>
    <mergeCell ref="B5:G5"/>
    <mergeCell ref="A22:H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13"/>
    <col customWidth="1" min="3" max="3" width="19.88"/>
    <col customWidth="1" min="4" max="4" width="20.5"/>
    <col customWidth="1" min="5" max="5" width="13.63"/>
    <col customWidth="1" min="8" max="8" width="9.25"/>
  </cols>
  <sheetData>
    <row r="1" ht="75.75" customHeight="1">
      <c r="A1" s="1"/>
      <c r="B1" s="2" t="s">
        <v>24</v>
      </c>
      <c r="G1" s="34"/>
      <c r="H1" s="44"/>
      <c r="I1" s="45" t="s">
        <v>25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/>
      <c r="G2" s="34"/>
      <c r="I2" s="46" t="s">
        <v>26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7" t="s">
        <v>1</v>
      </c>
      <c r="G3" s="3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47" t="s">
        <v>27</v>
      </c>
      <c r="C4" s="48"/>
      <c r="D4" s="48"/>
      <c r="E4" s="48"/>
      <c r="F4" s="48"/>
      <c r="G4" s="4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50" t="s">
        <v>28</v>
      </c>
      <c r="C5" s="51"/>
      <c r="D5" s="51"/>
      <c r="E5" s="51"/>
      <c r="F5" s="51"/>
      <c r="G5" s="5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53" t="s">
        <v>29</v>
      </c>
      <c r="G6" s="3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54" t="s">
        <v>30</v>
      </c>
      <c r="G7" s="3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55" t="s">
        <v>31</v>
      </c>
      <c r="E8" s="37" t="s">
        <v>32</v>
      </c>
      <c r="G8" s="3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56" t="s">
        <v>33</v>
      </c>
      <c r="E9" s="57">
        <v>200000.0</v>
      </c>
      <c r="G9" s="3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55" t="s">
        <v>34</v>
      </c>
      <c r="E10" s="58">
        <v>25000.0</v>
      </c>
      <c r="F10" s="48"/>
      <c r="G10" s="4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55" t="s">
        <v>35</v>
      </c>
      <c r="E11" s="59">
        <f>E9-E10</f>
        <v>175000</v>
      </c>
      <c r="G11" s="3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55" t="s">
        <v>36</v>
      </c>
      <c r="E12" s="57">
        <v>15000.0</v>
      </c>
      <c r="G12" s="3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55" t="s">
        <v>37</v>
      </c>
      <c r="E13" s="60">
        <f>E9/E12</f>
        <v>13.33333333</v>
      </c>
      <c r="G13" s="3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55" t="s">
        <v>38</v>
      </c>
      <c r="E14" s="60">
        <f>E11/E12</f>
        <v>11.66666667</v>
      </c>
      <c r="G14" s="3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54" t="s">
        <v>39</v>
      </c>
      <c r="G15" s="3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61" t="s">
        <v>40</v>
      </c>
      <c r="C16" s="62"/>
      <c r="D16" s="63"/>
      <c r="E16" s="64">
        <v>4500.0</v>
      </c>
      <c r="F16" s="62"/>
      <c r="G16" s="65"/>
      <c r="I16" s="6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B17" s="61" t="s">
        <v>41</v>
      </c>
      <c r="C17" s="62"/>
      <c r="D17" s="62"/>
      <c r="E17" s="64">
        <v>500.0</v>
      </c>
      <c r="F17" s="62"/>
      <c r="G17" s="6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61" t="s">
        <v>42</v>
      </c>
      <c r="C18" s="62"/>
      <c r="D18" s="67"/>
      <c r="E18" s="68">
        <f>E16-E17</f>
        <v>4000</v>
      </c>
      <c r="F18" s="62"/>
      <c r="G18" s="6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B19" s="61" t="s">
        <v>43</v>
      </c>
      <c r="C19" s="62"/>
      <c r="D19" s="67"/>
      <c r="E19" s="69">
        <v>400.0</v>
      </c>
      <c r="F19" s="62"/>
      <c r="G19" s="6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61" t="s">
        <v>44</v>
      </c>
      <c r="C20" s="62"/>
      <c r="D20" s="67"/>
      <c r="E20" s="70">
        <f>E16/E19</f>
        <v>11.25</v>
      </c>
      <c r="F20" s="62"/>
      <c r="G20" s="6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B21" s="15" t="s">
        <v>45</v>
      </c>
      <c r="C21" s="18"/>
      <c r="D21" s="16"/>
      <c r="E21" s="71">
        <f>E18/E19</f>
        <v>10</v>
      </c>
      <c r="F21" s="18"/>
      <c r="G21" s="1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B22" s="54" t="s">
        <v>46</v>
      </c>
      <c r="G22" s="3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B23" s="15" t="s">
        <v>47</v>
      </c>
      <c r="C23" s="18"/>
      <c r="D23" s="72"/>
      <c r="E23" s="18"/>
      <c r="F23" s="18"/>
      <c r="G23" s="19"/>
      <c r="I23" s="6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B24" s="20" t="s">
        <v>48</v>
      </c>
      <c r="C24" s="23"/>
      <c r="D24" s="23"/>
      <c r="E24" s="73">
        <v>700.0</v>
      </c>
      <c r="F24" s="23"/>
      <c r="G24" s="24"/>
      <c r="I24" s="7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B25" s="75" t="s">
        <v>49</v>
      </c>
      <c r="C25" s="76"/>
      <c r="D25" s="76"/>
      <c r="E25" s="77">
        <f>IF(B23="Cash only",E16,E24)</f>
        <v>700</v>
      </c>
      <c r="F25" s="78"/>
      <c r="G25" s="3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B26" s="79" t="s">
        <v>50</v>
      </c>
      <c r="C26" s="80"/>
      <c r="D26" s="80"/>
      <c r="E26" s="80"/>
      <c r="F26" s="80"/>
      <c r="G26" s="8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B27" s="82" t="s">
        <v>51</v>
      </c>
      <c r="C27" s="83" t="s">
        <v>52</v>
      </c>
      <c r="D27" s="84" t="str">
        <f>'Step One Know the Basics'!D19</f>
        <v/>
      </c>
      <c r="F27" s="85"/>
      <c r="G27" s="2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B28" s="86" t="str">
        <f>'Step One Know the Basics'!B14</f>
        <v>Paris </v>
      </c>
      <c r="C28" s="87">
        <v>625.0</v>
      </c>
      <c r="G28" s="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B29" s="86" t="str">
        <f>'Step One Know the Basics'!B15</f>
        <v>Lyon</v>
      </c>
      <c r="C29" s="87">
        <v>275.0</v>
      </c>
      <c r="G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B30" s="86" t="str">
        <f>'Step One Know the Basics'!B16</f>
        <v>Bordeaux</v>
      </c>
      <c r="C30" s="87">
        <v>425.0</v>
      </c>
      <c r="G30" s="3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B31" s="86" t="str">
        <f>'Step One Know the Basics'!B17</f>
        <v>Barcelona</v>
      </c>
      <c r="C31" s="87">
        <v>700.0</v>
      </c>
      <c r="G31" s="3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B32" s="88" t="str">
        <f>'Step One Know the Basics'!B18</f>
        <v>Madrid</v>
      </c>
      <c r="C32" s="89">
        <v>350.0</v>
      </c>
      <c r="G32" s="3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B33" s="88" t="str">
        <f>'Step One Know the Basics'!B19</f>
        <v/>
      </c>
      <c r="C33" s="89"/>
      <c r="D33" s="51"/>
      <c r="E33" s="51"/>
      <c r="G33" s="3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90" t="s">
        <v>53</v>
      </c>
      <c r="C34" s="76"/>
      <c r="D34" s="76"/>
      <c r="E34" s="77">
        <f>SUM(C28+C29+C30+C31+C32+C33)</f>
        <v>2375</v>
      </c>
      <c r="F34" s="62"/>
      <c r="G34" s="6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B35" s="79" t="s">
        <v>54</v>
      </c>
      <c r="C35" s="80"/>
      <c r="D35" s="80"/>
      <c r="E35" s="80"/>
      <c r="F35" s="80"/>
      <c r="G35" s="8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B36" s="91" t="s">
        <v>23</v>
      </c>
      <c r="C36" s="62"/>
      <c r="D36" s="62"/>
      <c r="E36" s="92">
        <f>'Step One Know the Basics'!D21</f>
        <v>13</v>
      </c>
      <c r="F36" s="84"/>
      <c r="G36" s="3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B37" s="93" t="s">
        <v>55</v>
      </c>
      <c r="C37" s="18"/>
      <c r="D37" s="18"/>
      <c r="E37" s="94">
        <v>8.0</v>
      </c>
      <c r="G37" s="3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B38" s="93" t="s">
        <v>56</v>
      </c>
      <c r="C38" s="18"/>
      <c r="D38" s="95"/>
      <c r="E38" s="94">
        <v>6.0</v>
      </c>
      <c r="G38" s="3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B39" s="96" t="s">
        <v>57</v>
      </c>
      <c r="C39" s="18"/>
      <c r="D39" s="18"/>
      <c r="E39" s="97">
        <f>(E37*50)+(E38*80)*'Step One Know the Basics'!D7</f>
        <v>1840</v>
      </c>
      <c r="G39" s="3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B40" s="98" t="s">
        <v>58</v>
      </c>
      <c r="C40" s="23"/>
      <c r="D40" s="23"/>
      <c r="E40" s="99">
        <v>0.0</v>
      </c>
      <c r="G40" s="3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B41" s="90" t="s">
        <v>59</v>
      </c>
      <c r="C41" s="76"/>
      <c r="D41" s="76"/>
      <c r="E41" s="77">
        <f>(E40*100)+E39</f>
        <v>1840</v>
      </c>
      <c r="G41" s="3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B42" s="100" t="s">
        <v>60</v>
      </c>
      <c r="C42" s="101"/>
      <c r="D42" s="101"/>
      <c r="E42" s="101"/>
      <c r="F42" s="101"/>
      <c r="G42" s="10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54" t="s">
        <v>61</v>
      </c>
      <c r="G43" s="3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B44" s="55" t="s">
        <v>62</v>
      </c>
      <c r="E44" s="103" t="s">
        <v>63</v>
      </c>
      <c r="F44" s="104"/>
      <c r="G44" s="3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B45" s="35" t="s">
        <v>64</v>
      </c>
      <c r="C45" s="31" t="s">
        <v>65</v>
      </c>
      <c r="D45" s="36" t="s">
        <v>17</v>
      </c>
      <c r="E45" s="105">
        <v>750.0</v>
      </c>
      <c r="G45" s="34"/>
      <c r="I45" s="6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B46" s="35" t="s">
        <v>17</v>
      </c>
      <c r="C46" s="31" t="s">
        <v>65</v>
      </c>
      <c r="D46" s="36" t="s">
        <v>18</v>
      </c>
      <c r="E46" s="105">
        <v>350.0</v>
      </c>
      <c r="G46" s="3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B47" s="35" t="s">
        <v>18</v>
      </c>
      <c r="C47" s="31" t="s">
        <v>65</v>
      </c>
      <c r="D47" s="36" t="s">
        <v>19</v>
      </c>
      <c r="E47" s="105">
        <v>400.0</v>
      </c>
      <c r="G47" s="3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B48" s="35" t="s">
        <v>19</v>
      </c>
      <c r="C48" s="31" t="s">
        <v>65</v>
      </c>
      <c r="D48" s="36" t="s">
        <v>21</v>
      </c>
      <c r="E48" s="105">
        <v>400.0</v>
      </c>
      <c r="G48" s="3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B49" s="35"/>
      <c r="C49" s="31" t="s">
        <v>65</v>
      </c>
      <c r="D49" s="36"/>
      <c r="E49" s="105"/>
      <c r="G49" s="3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B50" s="56" t="s">
        <v>66</v>
      </c>
      <c r="E50" s="106" t="s">
        <v>63</v>
      </c>
      <c r="G50" s="3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B51" s="107" t="s">
        <v>67</v>
      </c>
      <c r="E51" s="108">
        <v>300.0</v>
      </c>
      <c r="G51" s="3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B52" s="109"/>
      <c r="E52" s="105"/>
      <c r="G52" s="3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B53" s="107" t="s">
        <v>68</v>
      </c>
      <c r="E53" s="108">
        <v>500.0</v>
      </c>
      <c r="G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B54" s="107"/>
      <c r="E54" s="108"/>
      <c r="G54" s="3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B55" s="107"/>
      <c r="C55" s="107"/>
      <c r="D55" s="107"/>
      <c r="E55" s="108"/>
      <c r="G55" s="3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B56" s="55" t="s">
        <v>69</v>
      </c>
      <c r="E56" s="110">
        <f>E45+E46+E47+E48+E49+E51+E52+E53+E54+E55</f>
        <v>2700</v>
      </c>
      <c r="G56" s="3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B57" s="111" t="s">
        <v>70</v>
      </c>
      <c r="G57" s="3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B58" s="55" t="s">
        <v>71</v>
      </c>
      <c r="E58" s="110">
        <v>200.0</v>
      </c>
      <c r="F58" s="112"/>
      <c r="G58" s="3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B59" s="55" t="s">
        <v>72</v>
      </c>
      <c r="E59" s="110">
        <f>'Step One Know the Basics'!D7*('Step One Know the Basics'!D21*30)</f>
        <v>1170</v>
      </c>
      <c r="G59" s="34"/>
      <c r="I59" s="6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B60" s="55" t="s">
        <v>73</v>
      </c>
      <c r="E60" s="110">
        <f>75*'Step One Know the Basics'!D21</f>
        <v>975</v>
      </c>
      <c r="G60" s="3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B61" s="55" t="s">
        <v>74</v>
      </c>
      <c r="E61" s="110">
        <f>SUM(E58:E60)</f>
        <v>2345</v>
      </c>
      <c r="G61" s="3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B62" s="75" t="s">
        <v>75</v>
      </c>
      <c r="C62" s="76"/>
      <c r="D62" s="76"/>
      <c r="E62" s="77">
        <f>SUM(E56+E61)</f>
        <v>5045</v>
      </c>
      <c r="G62" s="3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B63" s="100" t="s">
        <v>76</v>
      </c>
      <c r="C63" s="101"/>
      <c r="D63" s="101"/>
      <c r="E63" s="101"/>
      <c r="F63" s="101"/>
      <c r="G63" s="10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B64" s="113" t="s">
        <v>77</v>
      </c>
      <c r="E64" s="114" t="s">
        <v>63</v>
      </c>
      <c r="F64" s="115"/>
      <c r="G64" s="3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B65" s="116" t="str">
        <f>'Step One Know the Basics'!B14</f>
        <v>Paris </v>
      </c>
      <c r="G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B66" s="35" t="s">
        <v>78</v>
      </c>
      <c r="E66" s="105">
        <v>72.0</v>
      </c>
      <c r="G66" s="34"/>
      <c r="I66" s="6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B67" s="35" t="s">
        <v>79</v>
      </c>
      <c r="E67" s="105">
        <v>72.0</v>
      </c>
      <c r="G67" s="34"/>
      <c r="I67" s="6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B68" s="35" t="s">
        <v>80</v>
      </c>
      <c r="E68" s="105">
        <v>51.0</v>
      </c>
      <c r="G68" s="3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B69" s="35" t="s">
        <v>81</v>
      </c>
      <c r="E69" s="105">
        <v>0.0</v>
      </c>
      <c r="G69" s="34"/>
      <c r="I69" s="6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B70" s="35" t="s">
        <v>82</v>
      </c>
      <c r="E70" s="105">
        <v>300.0</v>
      </c>
      <c r="G70" s="3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B71" s="35"/>
      <c r="E71" s="105"/>
      <c r="G71" s="3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B72" s="35"/>
      <c r="E72" s="117"/>
      <c r="G72" s="3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B73" s="116" t="str">
        <f>'Step One Know the Basics'!B15</f>
        <v>Lyon</v>
      </c>
      <c r="G73" s="3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B74" s="35" t="s">
        <v>83</v>
      </c>
      <c r="E74" s="105">
        <v>40.0</v>
      </c>
      <c r="G74" s="3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B75" s="35" t="s">
        <v>84</v>
      </c>
      <c r="E75" s="105">
        <v>50.0</v>
      </c>
      <c r="G75" s="3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B76" s="35" t="s">
        <v>85</v>
      </c>
      <c r="E76" s="105">
        <v>15.0</v>
      </c>
      <c r="G76" s="3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B77" s="35"/>
      <c r="E77" s="105"/>
      <c r="G77" s="3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B78" s="35"/>
      <c r="E78" s="105"/>
      <c r="G78" s="3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B79" s="35"/>
      <c r="C79" s="35"/>
      <c r="D79" s="35"/>
      <c r="E79" s="105"/>
      <c r="G79" s="3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B80" s="35"/>
      <c r="E80" s="105"/>
      <c r="G80" s="3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B81" s="116" t="str">
        <f>'Step One Know the Basics'!B16</f>
        <v>Bordeaux</v>
      </c>
      <c r="G81" s="3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B82" s="35" t="s">
        <v>86</v>
      </c>
      <c r="E82" s="105">
        <v>40.0</v>
      </c>
      <c r="G82" s="3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B83" s="35" t="s">
        <v>87</v>
      </c>
      <c r="E83" s="105">
        <v>25.0</v>
      </c>
      <c r="G83" s="3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B84" s="35" t="s">
        <v>88</v>
      </c>
      <c r="E84" s="105">
        <v>150.0</v>
      </c>
      <c r="G84" s="3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B85" s="35"/>
      <c r="E85" s="105"/>
      <c r="G85" s="3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B86" s="35"/>
      <c r="E86" s="105"/>
      <c r="G86" s="3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B87" s="35"/>
      <c r="E87" s="105"/>
      <c r="G87" s="3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B88" s="35"/>
      <c r="E88" s="105"/>
      <c r="G88" s="3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B89" s="116" t="str">
        <f>'Step One Know the Basics'!B17</f>
        <v>Barcelona</v>
      </c>
      <c r="G89" s="3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B90" s="35" t="s">
        <v>89</v>
      </c>
      <c r="E90" s="105">
        <v>25.0</v>
      </c>
      <c r="G90" s="3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B91" s="35" t="s">
        <v>90</v>
      </c>
      <c r="E91" s="105">
        <v>40.0</v>
      </c>
      <c r="G91" s="3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B92" s="35" t="s">
        <v>91</v>
      </c>
      <c r="E92" s="105">
        <v>45.0</v>
      </c>
      <c r="G92" s="3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B93" s="35" t="s">
        <v>92</v>
      </c>
      <c r="E93" s="105">
        <v>140.0</v>
      </c>
      <c r="G93" s="3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B94" s="35"/>
      <c r="E94" s="105"/>
      <c r="G94" s="3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B95" s="35"/>
      <c r="E95" s="105"/>
      <c r="G95" s="3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B96" s="35"/>
      <c r="E96" s="105"/>
      <c r="G96" s="3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B97" s="116" t="str">
        <f>'Step One Know the Basics'!B18</f>
        <v>Madrid</v>
      </c>
      <c r="G97" s="3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B98" s="35" t="s">
        <v>93</v>
      </c>
      <c r="E98" s="105">
        <v>300.0</v>
      </c>
      <c r="G98" s="3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B99" s="35" t="s">
        <v>94</v>
      </c>
      <c r="E99" s="105">
        <v>75.0</v>
      </c>
      <c r="G99" s="3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B100" s="35" t="s">
        <v>95</v>
      </c>
      <c r="E100" s="105">
        <v>40.0</v>
      </c>
      <c r="G100" s="3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B101" s="35"/>
      <c r="E101" s="105"/>
      <c r="G101" s="3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B102" s="35"/>
      <c r="E102" s="105"/>
      <c r="G102" s="3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B103" s="35"/>
      <c r="E103" s="105"/>
      <c r="G103" s="3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B104" s="35"/>
      <c r="E104" s="105"/>
      <c r="G104" s="3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B105" s="116" t="str">
        <f>'Step One Know the Basics'!B19</f>
        <v/>
      </c>
      <c r="G105" s="3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B106" s="35"/>
      <c r="E106" s="105"/>
      <c r="G106" s="3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B107" s="35"/>
      <c r="E107" s="105"/>
      <c r="G107" s="3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B108" s="35"/>
      <c r="E108" s="105"/>
      <c r="G108" s="3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B109" s="35"/>
      <c r="C109" s="35"/>
      <c r="D109" s="35"/>
      <c r="E109" s="105"/>
      <c r="G109" s="3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B110" s="35"/>
      <c r="E110" s="105"/>
      <c r="G110" s="3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B111" s="35"/>
      <c r="E111" s="105"/>
      <c r="G111" s="3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B112" s="35"/>
      <c r="E112" s="105"/>
      <c r="G112" s="3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B113" s="118" t="s">
        <v>96</v>
      </c>
      <c r="E113" s="119">
        <f>SUM(E66:E112)</f>
        <v>1480</v>
      </c>
      <c r="G113" s="34"/>
      <c r="I113" s="6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B114" s="54" t="s">
        <v>97</v>
      </c>
      <c r="E114" s="120">
        <f>'Step One Know the Basics'!D21*'Step One Know the Basics'!D7*30</f>
        <v>1170</v>
      </c>
      <c r="G114" s="34"/>
      <c r="I114" s="6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B115" s="75" t="s">
        <v>98</v>
      </c>
      <c r="C115" s="76"/>
      <c r="D115" s="76"/>
      <c r="E115" s="77">
        <f>SUM(E113+E114)</f>
        <v>2650</v>
      </c>
      <c r="G115" s="3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B116" s="100" t="s">
        <v>99</v>
      </c>
      <c r="C116" s="101"/>
      <c r="D116" s="101"/>
      <c r="E116" s="101"/>
      <c r="F116" s="101"/>
      <c r="G116" s="10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B117" s="121" t="s">
        <v>100</v>
      </c>
      <c r="E117" s="31" t="s">
        <v>63</v>
      </c>
      <c r="F117" s="104"/>
      <c r="G117" s="3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B118" s="35" t="s">
        <v>101</v>
      </c>
      <c r="E118" s="105">
        <v>300.0</v>
      </c>
      <c r="G118" s="3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B119" s="35" t="s">
        <v>102</v>
      </c>
      <c r="E119" s="105">
        <v>200.0</v>
      </c>
      <c r="G119" s="3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B120" s="35" t="s">
        <v>103</v>
      </c>
      <c r="E120" s="105">
        <v>250.0</v>
      </c>
      <c r="G120" s="3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B121" s="35"/>
      <c r="C121" s="35"/>
      <c r="D121" s="35"/>
      <c r="E121" s="105"/>
      <c r="G121" s="3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B122" s="35"/>
      <c r="E122" s="105"/>
      <c r="G122" s="3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B123" s="35"/>
      <c r="E123" s="105"/>
      <c r="G123" s="3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B124" s="35"/>
      <c r="E124" s="105"/>
      <c r="G124" s="3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B125" s="75" t="s">
        <v>104</v>
      </c>
      <c r="C125" s="76"/>
      <c r="D125" s="76"/>
      <c r="E125" s="77">
        <f>SUM(E118:E124)</f>
        <v>750</v>
      </c>
      <c r="G125" s="3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B126" s="122" t="s">
        <v>105</v>
      </c>
      <c r="C126" s="101"/>
      <c r="D126" s="101"/>
      <c r="E126" s="101"/>
      <c r="F126" s="101"/>
      <c r="G126" s="10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B127" s="123" t="s">
        <v>106</v>
      </c>
      <c r="E127" s="124">
        <f>'Step One Know the Basics'!D7*250</f>
        <v>750</v>
      </c>
      <c r="F127" s="104"/>
      <c r="G127" s="34"/>
      <c r="I127" s="6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B128" s="125" t="s">
        <v>107</v>
      </c>
      <c r="C128" s="101"/>
      <c r="D128" s="101"/>
      <c r="E128" s="126">
        <f>E25+E34+E41+E62+E115+E125+E127</f>
        <v>14110</v>
      </c>
      <c r="F128" s="101"/>
      <c r="G128" s="12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B129" s="128" t="s">
        <v>108</v>
      </c>
      <c r="E129" s="129">
        <v>602.0</v>
      </c>
      <c r="G129" s="13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B130" s="128" t="s">
        <v>109</v>
      </c>
      <c r="E130" s="131">
        <v>500.0</v>
      </c>
      <c r="F130" s="48"/>
      <c r="G130" s="49"/>
      <c r="I130" s="6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B131" s="128" t="s">
        <v>110</v>
      </c>
      <c r="E131" s="132">
        <f>MAX(0, E128-E130)</f>
        <v>13610</v>
      </c>
      <c r="G131" s="13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B132" s="128" t="s">
        <v>111</v>
      </c>
      <c r="E132" s="133">
        <f>E131/E129</f>
        <v>22.60797342</v>
      </c>
      <c r="G132" s="13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B133" s="134" t="s">
        <v>112</v>
      </c>
      <c r="E133" s="135">
        <f>IF(E132&lt;E137,EDATE(TODAY(),E137),EDATE(TODAY(),E132))</f>
        <v>46637</v>
      </c>
      <c r="G133" s="130"/>
      <c r="I133" s="13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B134" s="128" t="s">
        <v>113</v>
      </c>
      <c r="E134" s="132">
        <f>MAX(0, E25-E130)</f>
        <v>200</v>
      </c>
      <c r="G134" s="13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B135" s="128" t="s">
        <v>114</v>
      </c>
      <c r="E135" s="137">
        <f>MAX(0, E134/E129)</f>
        <v>0.3322259136</v>
      </c>
      <c r="G135" s="13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B136" s="138" t="s">
        <v>115</v>
      </c>
      <c r="E136" s="139">
        <f>IF(B23="Cash only",0,E11)</f>
        <v>175000</v>
      </c>
      <c r="G136" s="130"/>
      <c r="I136" s="6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B137" s="138" t="s">
        <v>116</v>
      </c>
      <c r="E137" s="139">
        <f>IF(B23="Cash only",0,E14)</f>
        <v>11.66666667</v>
      </c>
      <c r="G137" s="13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B138" s="140" t="str">
        <f>IF(B23="Cash only",G138,I1)</f>
        <v>The earliest date I can book the flights is</v>
      </c>
      <c r="E138" s="141">
        <f>IF(B23="Cash only",EDATE("1/1/1999",-1),EDATE(TODAY(),E137))</f>
        <v>46302</v>
      </c>
      <c r="G138" s="130"/>
      <c r="I138" s="6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B139" s="142"/>
      <c r="C139" s="143"/>
      <c r="D139" s="143"/>
      <c r="E139" s="143"/>
      <c r="F139" s="143"/>
      <c r="G139" s="14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B140" s="140" t="str">
        <f>IF(B23="Points",G140,I1)</f>
        <v/>
      </c>
      <c r="E140" s="141">
        <f>IF(B23="Points",EDATE("1/1/1999",-1),EDATE(TODAY(),E135))</f>
        <v>36130</v>
      </c>
      <c r="G140" s="130"/>
      <c r="I140" s="6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B141" s="145"/>
      <c r="C141" s="146"/>
      <c r="D141" s="146"/>
      <c r="E141" s="146"/>
      <c r="F141" s="146"/>
      <c r="G141" s="147"/>
      <c r="I141" s="6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</sheetData>
  <mergeCells count="162">
    <mergeCell ref="B118:D118"/>
    <mergeCell ref="B119:D119"/>
    <mergeCell ref="B120:D120"/>
    <mergeCell ref="B122:D122"/>
    <mergeCell ref="B123:D123"/>
    <mergeCell ref="B124:D124"/>
    <mergeCell ref="B125:D125"/>
    <mergeCell ref="B126:G126"/>
    <mergeCell ref="B127:D127"/>
    <mergeCell ref="F127:G127"/>
    <mergeCell ref="B128:D128"/>
    <mergeCell ref="E128:G128"/>
    <mergeCell ref="B129:D129"/>
    <mergeCell ref="E129:G129"/>
    <mergeCell ref="F64:G115"/>
    <mergeCell ref="B65:E65"/>
    <mergeCell ref="B66:D66"/>
    <mergeCell ref="B67:D67"/>
    <mergeCell ref="B68:D68"/>
    <mergeCell ref="B69:D69"/>
    <mergeCell ref="B70:D70"/>
    <mergeCell ref="B137:D137"/>
    <mergeCell ref="E137:G137"/>
    <mergeCell ref="B138:D139"/>
    <mergeCell ref="E138:G139"/>
    <mergeCell ref="B140:D141"/>
    <mergeCell ref="E140:G141"/>
    <mergeCell ref="A1:A141"/>
    <mergeCell ref="B1:G1"/>
    <mergeCell ref="H1:H141"/>
    <mergeCell ref="B2:G2"/>
    <mergeCell ref="B3:G3"/>
    <mergeCell ref="B4:G4"/>
    <mergeCell ref="B5:G5"/>
    <mergeCell ref="A142:H143"/>
    <mergeCell ref="B130:D130"/>
    <mergeCell ref="E130:G130"/>
    <mergeCell ref="B131:D131"/>
    <mergeCell ref="E131:G131"/>
    <mergeCell ref="B132:D132"/>
    <mergeCell ref="E132:G132"/>
    <mergeCell ref="B133:D133"/>
    <mergeCell ref="E133:G133"/>
    <mergeCell ref="B134:D134"/>
    <mergeCell ref="E134:G134"/>
    <mergeCell ref="B135:D135"/>
    <mergeCell ref="E135:G135"/>
    <mergeCell ref="B136:D136"/>
    <mergeCell ref="E136:G136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6:G6"/>
    <mergeCell ref="B7:G7"/>
    <mergeCell ref="B15:G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G22"/>
    <mergeCell ref="B23:C23"/>
    <mergeCell ref="D23:G23"/>
    <mergeCell ref="B24:D24"/>
    <mergeCell ref="E24:G24"/>
    <mergeCell ref="B25:D25"/>
    <mergeCell ref="F25:G25"/>
    <mergeCell ref="B26:G26"/>
    <mergeCell ref="D27:E33"/>
    <mergeCell ref="B35:G35"/>
    <mergeCell ref="B36:D36"/>
    <mergeCell ref="F36:G41"/>
    <mergeCell ref="B37:D37"/>
    <mergeCell ref="B38:D38"/>
    <mergeCell ref="B39:D39"/>
    <mergeCell ref="B40:D40"/>
    <mergeCell ref="B41:D41"/>
    <mergeCell ref="B42:G42"/>
    <mergeCell ref="B43:G43"/>
    <mergeCell ref="F27:G34"/>
    <mergeCell ref="B34:D34"/>
    <mergeCell ref="B44:D44"/>
    <mergeCell ref="F44:G56"/>
    <mergeCell ref="B50:D50"/>
    <mergeCell ref="B51:D51"/>
    <mergeCell ref="B52:D52"/>
    <mergeCell ref="B53:D53"/>
    <mergeCell ref="B54:D54"/>
    <mergeCell ref="B56:D56"/>
    <mergeCell ref="B57:G57"/>
    <mergeCell ref="B58:D58"/>
    <mergeCell ref="F58:G62"/>
    <mergeCell ref="B59:D59"/>
    <mergeCell ref="B60:D60"/>
    <mergeCell ref="B61:D61"/>
    <mergeCell ref="B62:D62"/>
    <mergeCell ref="B63:G63"/>
    <mergeCell ref="B64:D64"/>
    <mergeCell ref="B71:D71"/>
    <mergeCell ref="B72:D72"/>
    <mergeCell ref="B73:E73"/>
    <mergeCell ref="B74:D74"/>
    <mergeCell ref="B75:D75"/>
    <mergeCell ref="B76:D76"/>
    <mergeCell ref="B77:D77"/>
    <mergeCell ref="B78:D78"/>
    <mergeCell ref="B80:D80"/>
    <mergeCell ref="B81:E81"/>
    <mergeCell ref="B82:D82"/>
    <mergeCell ref="B83:D83"/>
    <mergeCell ref="B84:D84"/>
    <mergeCell ref="B85:D85"/>
    <mergeCell ref="B86:D86"/>
    <mergeCell ref="B87:D87"/>
    <mergeCell ref="B88:D88"/>
    <mergeCell ref="B89:E89"/>
    <mergeCell ref="B90:D90"/>
    <mergeCell ref="B91:D91"/>
    <mergeCell ref="B92:D92"/>
    <mergeCell ref="B93:D93"/>
    <mergeCell ref="B94:D94"/>
    <mergeCell ref="B95:D95"/>
    <mergeCell ref="B96:D96"/>
    <mergeCell ref="B97:E97"/>
    <mergeCell ref="B98:D98"/>
    <mergeCell ref="B99:D99"/>
    <mergeCell ref="B100:D100"/>
    <mergeCell ref="B101:D101"/>
    <mergeCell ref="B102:D102"/>
    <mergeCell ref="B103:D103"/>
    <mergeCell ref="B104:D104"/>
    <mergeCell ref="B105:E105"/>
    <mergeCell ref="B106:D106"/>
    <mergeCell ref="B107:D107"/>
    <mergeCell ref="B108:D108"/>
    <mergeCell ref="B110:D110"/>
    <mergeCell ref="B111:D111"/>
    <mergeCell ref="B112:D112"/>
    <mergeCell ref="B113:D113"/>
    <mergeCell ref="B114:D114"/>
    <mergeCell ref="B115:D115"/>
    <mergeCell ref="B116:G116"/>
    <mergeCell ref="B117:D117"/>
    <mergeCell ref="F117:G125"/>
  </mergeCells>
  <conditionalFormatting sqref="E138:F139">
    <cfRule type="expression" dxfId="0" priority="1">
      <formula>AND(ISNUMBER(E138),TRUNC(E138)&lt;TODAY()-1)</formula>
    </cfRule>
  </conditionalFormatting>
  <conditionalFormatting sqref="E140:F141">
    <cfRule type="expression" dxfId="0" priority="2">
      <formula>AND(ISNUMBER(E140),TRUNC(E140)&lt;TODAY())</formula>
    </cfRule>
  </conditionalFormatting>
  <dataValidations>
    <dataValidation type="list" allowBlank="1" showErrorMessage="1" sqref="B23">
      <formula1>"Points,Cash only"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8.13"/>
    <col customWidth="1" min="3" max="3" width="21.38"/>
    <col customWidth="1" min="4" max="4" width="19.63"/>
    <col customWidth="1" min="5" max="5" width="12.25"/>
    <col customWidth="1" min="6" max="6" width="10.5"/>
    <col customWidth="1" min="7" max="7" width="5.63"/>
    <col customWidth="1" min="8" max="8" width="9.25"/>
  </cols>
  <sheetData>
    <row r="1" ht="79.5" customHeight="1">
      <c r="A1" s="148"/>
      <c r="B1" s="149" t="s">
        <v>117</v>
      </c>
      <c r="G1" s="34"/>
      <c r="H1" s="4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4"/>
      <c r="B2" s="150"/>
      <c r="G2" s="3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4"/>
      <c r="B3" s="151" t="s">
        <v>1</v>
      </c>
      <c r="G3" s="3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4"/>
      <c r="B4" s="152" t="s">
        <v>118</v>
      </c>
      <c r="C4" s="10"/>
      <c r="D4" s="10"/>
      <c r="E4" s="10"/>
      <c r="F4" s="10"/>
      <c r="G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4"/>
      <c r="B5" s="153" t="s">
        <v>119</v>
      </c>
      <c r="C5" s="101"/>
      <c r="D5" s="101"/>
      <c r="E5" s="101"/>
      <c r="F5" s="101"/>
      <c r="G5" s="10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4"/>
      <c r="B6" s="55" t="s">
        <v>120</v>
      </c>
      <c r="D6" s="37" t="s">
        <v>121</v>
      </c>
      <c r="G6" s="3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4"/>
      <c r="B7" s="55" t="s">
        <v>122</v>
      </c>
      <c r="D7" s="154">
        <v>46089.0</v>
      </c>
      <c r="E7" s="62"/>
      <c r="F7" s="62"/>
      <c r="G7" s="6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4"/>
      <c r="B8" s="55" t="s">
        <v>123</v>
      </c>
      <c r="D8" s="154">
        <v>46102.0</v>
      </c>
      <c r="E8" s="62"/>
      <c r="F8" s="62"/>
      <c r="G8" s="6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4"/>
      <c r="B9" s="55" t="s">
        <v>124</v>
      </c>
      <c r="D9" s="155" t="s">
        <v>125</v>
      </c>
      <c r="E9" s="18"/>
      <c r="F9" s="18"/>
      <c r="G9" s="1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4"/>
      <c r="B10" s="56" t="s">
        <v>126</v>
      </c>
      <c r="D10" s="156" t="s">
        <v>127</v>
      </c>
      <c r="E10" s="62"/>
      <c r="F10" s="62"/>
      <c r="G10" s="6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4"/>
      <c r="B11" s="56" t="s">
        <v>128</v>
      </c>
      <c r="D11" s="156" t="s">
        <v>127</v>
      </c>
      <c r="E11" s="62"/>
      <c r="F11" s="62"/>
      <c r="G11" s="6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4"/>
      <c r="B12" s="157" t="s">
        <v>129</v>
      </c>
      <c r="C12" s="62"/>
      <c r="D12" s="37" t="s">
        <v>125</v>
      </c>
      <c r="G12" s="3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4"/>
      <c r="B13" s="158" t="s">
        <v>130</v>
      </c>
      <c r="D13" s="159" t="s">
        <v>131</v>
      </c>
      <c r="E13" s="160"/>
      <c r="F13" s="161">
        <v>700.0</v>
      </c>
      <c r="G13" s="16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4"/>
      <c r="B14" s="163"/>
      <c r="C14" s="62"/>
      <c r="D14" s="164" t="s">
        <v>132</v>
      </c>
      <c r="E14" s="165"/>
      <c r="F14" s="166">
        <f>'Step Two Afford and Save'!E25-F13</f>
        <v>0</v>
      </c>
      <c r="G14" s="16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4"/>
      <c r="B15" s="168" t="s">
        <v>133</v>
      </c>
      <c r="C15" s="169"/>
      <c r="D15" s="170">
        <f>ABS(F14/'Step Two Afford and Save'!E132)</f>
        <v>0</v>
      </c>
      <c r="E15" s="169"/>
      <c r="F15" s="169"/>
      <c r="G15" s="17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4"/>
      <c r="B16" s="172" t="s">
        <v>134</v>
      </c>
      <c r="C16" s="80"/>
      <c r="D16" s="80"/>
      <c r="E16" s="80"/>
      <c r="F16" s="80"/>
      <c r="G16" s="8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4"/>
      <c r="B17" s="173" t="s">
        <v>12</v>
      </c>
      <c r="C17" s="174" t="str">
        <f>'Step One Know the Basics'!B14</f>
        <v>Paris </v>
      </c>
      <c r="D17" s="18"/>
      <c r="E17" s="18"/>
      <c r="F17" s="18"/>
      <c r="G17" s="1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4"/>
      <c r="B18" s="86" t="s">
        <v>135</v>
      </c>
      <c r="C18" s="175" t="s">
        <v>136</v>
      </c>
      <c r="D18" s="18"/>
      <c r="E18" s="18"/>
      <c r="F18" s="18"/>
      <c r="G18" s="1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4"/>
      <c r="B19" s="86" t="s">
        <v>137</v>
      </c>
      <c r="C19" s="175" t="s">
        <v>138</v>
      </c>
      <c r="D19" s="18"/>
      <c r="E19" s="18"/>
      <c r="F19" s="18"/>
      <c r="G19" s="1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4"/>
      <c r="B20" s="86" t="s">
        <v>139</v>
      </c>
      <c r="C20" s="87">
        <v>625.0</v>
      </c>
      <c r="D20" s="18"/>
      <c r="E20" s="18"/>
      <c r="F20" s="18"/>
      <c r="G20" s="1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4"/>
      <c r="B21" s="173" t="s">
        <v>12</v>
      </c>
      <c r="C21" s="174" t="str">
        <f>'Step One Know the Basics'!B15</f>
        <v>Lyon</v>
      </c>
      <c r="D21" s="18"/>
      <c r="E21" s="18"/>
      <c r="F21" s="18"/>
      <c r="G21" s="1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4"/>
      <c r="B22" s="86" t="s">
        <v>135</v>
      </c>
      <c r="C22" s="175" t="s">
        <v>140</v>
      </c>
      <c r="D22" s="18"/>
      <c r="E22" s="18"/>
      <c r="F22" s="18"/>
      <c r="G22" s="1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4"/>
      <c r="B23" s="86" t="s">
        <v>137</v>
      </c>
      <c r="C23" s="175" t="s">
        <v>141</v>
      </c>
      <c r="D23" s="18"/>
      <c r="E23" s="18"/>
      <c r="F23" s="18"/>
      <c r="G23" s="1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4"/>
      <c r="B24" s="86" t="s">
        <v>139</v>
      </c>
      <c r="C24" s="87">
        <v>275.0</v>
      </c>
      <c r="D24" s="18"/>
      <c r="E24" s="18"/>
      <c r="F24" s="18"/>
      <c r="G24" s="1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4"/>
      <c r="B25" s="173" t="s">
        <v>12</v>
      </c>
      <c r="C25" s="174" t="str">
        <f>'Step One Know the Basics'!B16</f>
        <v>Bordeaux</v>
      </c>
      <c r="D25" s="18"/>
      <c r="E25" s="18"/>
      <c r="F25" s="18"/>
      <c r="G25" s="1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4"/>
      <c r="B26" s="86" t="s">
        <v>135</v>
      </c>
      <c r="C26" s="175" t="s">
        <v>142</v>
      </c>
      <c r="D26" s="18"/>
      <c r="E26" s="18"/>
      <c r="F26" s="18"/>
      <c r="G26" s="1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4"/>
      <c r="B27" s="86" t="s">
        <v>137</v>
      </c>
      <c r="C27" s="175" t="s">
        <v>143</v>
      </c>
      <c r="D27" s="18"/>
      <c r="E27" s="18"/>
      <c r="F27" s="18"/>
      <c r="G27" s="1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4"/>
      <c r="B28" s="86" t="s">
        <v>139</v>
      </c>
      <c r="C28" s="87">
        <v>450.0</v>
      </c>
      <c r="D28" s="18"/>
      <c r="E28" s="18"/>
      <c r="F28" s="18"/>
      <c r="G28" s="1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4"/>
      <c r="B29" s="173" t="s">
        <v>12</v>
      </c>
      <c r="C29" s="174" t="str">
        <f>'Step One Know the Basics'!B17</f>
        <v>Barcelona</v>
      </c>
      <c r="D29" s="18"/>
      <c r="E29" s="18"/>
      <c r="F29" s="18"/>
      <c r="G29" s="1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4"/>
      <c r="B30" s="86" t="s">
        <v>135</v>
      </c>
      <c r="C30" s="175" t="s">
        <v>144</v>
      </c>
      <c r="D30" s="18"/>
      <c r="E30" s="18"/>
      <c r="F30" s="18"/>
      <c r="G30" s="1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4"/>
      <c r="B31" s="86" t="s">
        <v>137</v>
      </c>
      <c r="C31" s="175" t="s">
        <v>145</v>
      </c>
      <c r="D31" s="18"/>
      <c r="E31" s="18"/>
      <c r="F31" s="18"/>
      <c r="G31" s="1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4"/>
      <c r="B32" s="86" t="s">
        <v>139</v>
      </c>
      <c r="C32" s="87">
        <v>725.0</v>
      </c>
      <c r="D32" s="18"/>
      <c r="E32" s="18"/>
      <c r="F32" s="18"/>
      <c r="G32" s="1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4"/>
      <c r="B33" s="173" t="s">
        <v>12</v>
      </c>
      <c r="C33" s="174" t="str">
        <f>'Step One Know the Basics'!B18</f>
        <v>Madrid</v>
      </c>
      <c r="D33" s="18"/>
      <c r="E33" s="18"/>
      <c r="F33" s="18"/>
      <c r="G33" s="1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4"/>
      <c r="B34" s="86" t="s">
        <v>135</v>
      </c>
      <c r="C34" s="175" t="s">
        <v>146</v>
      </c>
      <c r="D34" s="18"/>
      <c r="E34" s="18"/>
      <c r="F34" s="18"/>
      <c r="G34" s="1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4"/>
      <c r="B35" s="86" t="s">
        <v>137</v>
      </c>
      <c r="C35" s="175" t="s">
        <v>147</v>
      </c>
      <c r="D35" s="18"/>
      <c r="E35" s="18"/>
      <c r="F35" s="18"/>
      <c r="G35" s="1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4"/>
      <c r="B36" s="88" t="s">
        <v>139</v>
      </c>
      <c r="C36" s="89">
        <v>300.0</v>
      </c>
      <c r="D36" s="23"/>
      <c r="E36" s="23"/>
      <c r="F36" s="23"/>
      <c r="G36" s="2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4"/>
      <c r="B37" s="173" t="s">
        <v>12</v>
      </c>
      <c r="C37" s="174" t="str">
        <f>'Step One Know the Basics'!B19</f>
        <v/>
      </c>
      <c r="D37" s="18"/>
      <c r="E37" s="18"/>
      <c r="F37" s="18"/>
      <c r="G37" s="1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4"/>
      <c r="B38" s="86" t="s">
        <v>135</v>
      </c>
      <c r="C38" s="175"/>
      <c r="D38" s="18"/>
      <c r="E38" s="18"/>
      <c r="F38" s="18"/>
      <c r="G38" s="1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4"/>
      <c r="B39" s="86" t="s">
        <v>137</v>
      </c>
      <c r="C39" s="175"/>
      <c r="D39" s="18"/>
      <c r="E39" s="18"/>
      <c r="F39" s="18"/>
      <c r="G39" s="1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4"/>
      <c r="B40" s="88" t="s">
        <v>139</v>
      </c>
      <c r="C40" s="89"/>
      <c r="D40" s="23"/>
      <c r="E40" s="23"/>
      <c r="F40" s="23"/>
      <c r="G40" s="2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4"/>
      <c r="B41" s="176" t="s">
        <v>148</v>
      </c>
      <c r="C41" s="28"/>
      <c r="D41" s="177">
        <f>C20+C24+C28+C32+C36+C40</f>
        <v>2375</v>
      </c>
      <c r="E41" s="28"/>
      <c r="F41" s="28"/>
      <c r="G41" s="2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4"/>
      <c r="B42" s="178" t="s">
        <v>149</v>
      </c>
      <c r="D42" s="179">
        <f>'Step Two Afford and Save'!E34-D41</f>
        <v>0</v>
      </c>
      <c r="G42" s="3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4"/>
      <c r="B43" s="168" t="s">
        <v>150</v>
      </c>
      <c r="C43" s="169"/>
      <c r="D43" s="180">
        <f>ABS(D42/'Step Two Afford and Save'!E132)</f>
        <v>0</v>
      </c>
      <c r="E43" s="169"/>
      <c r="F43" s="169"/>
      <c r="G43" s="17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4"/>
      <c r="B44" s="181" t="s">
        <v>151</v>
      </c>
      <c r="C44" s="101"/>
      <c r="D44" s="101"/>
      <c r="E44" s="101"/>
      <c r="F44" s="101"/>
      <c r="G44" s="10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4"/>
      <c r="B45" s="182" t="s">
        <v>152</v>
      </c>
      <c r="G45" s="3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75" customHeight="1">
      <c r="A46" s="34"/>
      <c r="B46" s="183" t="s">
        <v>153</v>
      </c>
      <c r="G46" s="3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4"/>
      <c r="B47" s="153" t="s">
        <v>154</v>
      </c>
      <c r="C47" s="101"/>
      <c r="D47" s="101"/>
      <c r="E47" s="101"/>
      <c r="F47" s="101"/>
      <c r="G47" s="10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4"/>
      <c r="B48" s="55" t="s">
        <v>62</v>
      </c>
      <c r="E48" s="32" t="s">
        <v>155</v>
      </c>
      <c r="F48" s="31" t="s">
        <v>156</v>
      </c>
      <c r="G48" s="34"/>
      <c r="I48" s="18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4"/>
      <c r="B49" s="182" t="str">
        <f>'Step Two Afford and Save'!B45</f>
        <v>Paris</v>
      </c>
      <c r="C49" s="31" t="s">
        <v>65</v>
      </c>
      <c r="D49" s="185" t="str">
        <f>'Step Two Afford and Save'!D45</f>
        <v>Lyon</v>
      </c>
      <c r="E49" s="186" t="b">
        <v>1</v>
      </c>
      <c r="F49" s="108">
        <v>770.0</v>
      </c>
      <c r="G49" s="3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4"/>
      <c r="B50" s="182" t="str">
        <f>'Step Two Afford and Save'!B46</f>
        <v>Lyon</v>
      </c>
      <c r="C50" s="31" t="s">
        <v>65</v>
      </c>
      <c r="D50" s="185" t="str">
        <f>'Step Two Afford and Save'!D46</f>
        <v>Bordeaux</v>
      </c>
      <c r="E50" s="186" t="b">
        <v>1</v>
      </c>
      <c r="F50" s="108">
        <v>325.0</v>
      </c>
      <c r="G50" s="3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4"/>
      <c r="B51" s="182" t="str">
        <f>'Step Two Afford and Save'!B47</f>
        <v>Bordeaux</v>
      </c>
      <c r="C51" s="31" t="s">
        <v>65</v>
      </c>
      <c r="D51" s="185" t="str">
        <f>'Step Two Afford and Save'!D47</f>
        <v>Barcelona</v>
      </c>
      <c r="E51" s="186" t="b">
        <v>1</v>
      </c>
      <c r="F51" s="108">
        <v>415.0</v>
      </c>
      <c r="G51" s="3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4"/>
      <c r="B52" s="182" t="str">
        <f>'Step Two Afford and Save'!B48</f>
        <v>Barcelona</v>
      </c>
      <c r="C52" s="31" t="s">
        <v>65</v>
      </c>
      <c r="D52" s="185" t="str">
        <f>'Step Two Afford and Save'!D48</f>
        <v>Madrid</v>
      </c>
      <c r="E52" s="186" t="b">
        <v>1</v>
      </c>
      <c r="F52" s="108">
        <v>600.0</v>
      </c>
      <c r="G52" s="3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4"/>
      <c r="B53" s="182" t="str">
        <f>'Step Two Afford and Save'!B49</f>
        <v/>
      </c>
      <c r="C53" s="31" t="s">
        <v>65</v>
      </c>
      <c r="D53" s="185" t="str">
        <f>'Step Two Afford and Save'!D49</f>
        <v/>
      </c>
      <c r="E53" s="186" t="b">
        <v>0</v>
      </c>
      <c r="F53" s="108"/>
      <c r="G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4"/>
      <c r="B54" s="56" t="s">
        <v>66</v>
      </c>
      <c r="E54" s="32" t="s">
        <v>155</v>
      </c>
      <c r="F54" s="31" t="s">
        <v>156</v>
      </c>
      <c r="G54" s="3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4"/>
      <c r="B55" s="182" t="str">
        <f>'Step Two Afford and Save'!B51</f>
        <v>Paris river boat tour</v>
      </c>
      <c r="E55" s="186" t="b">
        <v>1</v>
      </c>
      <c r="F55" s="108">
        <v>200.0</v>
      </c>
      <c r="G55" s="3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4"/>
      <c r="B56" s="187" t="str">
        <f>'Step Two Afford and Save'!B52</f>
        <v/>
      </c>
      <c r="E56" s="186" t="b">
        <v>0</v>
      </c>
      <c r="F56" s="108"/>
      <c r="G56" s="3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4"/>
      <c r="B57" s="182" t="str">
        <f>'Step Two Afford and Save'!B53</f>
        <v>Flight from Madrid to London</v>
      </c>
      <c r="E57" s="186" t="b">
        <v>1</v>
      </c>
      <c r="F57" s="108">
        <v>400.0</v>
      </c>
      <c r="G57" s="3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4"/>
      <c r="B58" s="182" t="str">
        <f>'Step Two Afford and Save'!B54</f>
        <v/>
      </c>
      <c r="E58" s="186" t="b">
        <v>0</v>
      </c>
      <c r="F58" s="108"/>
      <c r="G58" s="3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4"/>
      <c r="B59" s="182" t="str">
        <f>'Step Two Afford and Save'!B55</f>
        <v/>
      </c>
      <c r="E59" s="186" t="b">
        <v>0</v>
      </c>
      <c r="F59" s="188"/>
      <c r="G59" s="18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4"/>
      <c r="B60" s="176" t="s">
        <v>157</v>
      </c>
      <c r="C60" s="28"/>
      <c r="D60" s="177">
        <f>SUM(F49:G53,F55:G59)</f>
        <v>2710</v>
      </c>
      <c r="E60" s="28"/>
      <c r="F60" s="28"/>
      <c r="G60" s="29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4"/>
      <c r="B61" s="178" t="s">
        <v>149</v>
      </c>
      <c r="D61" s="179">
        <f>'Step Two Afford and Save'!E56-D60</f>
        <v>-10</v>
      </c>
      <c r="G61" s="3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4"/>
      <c r="B62" s="168" t="s">
        <v>158</v>
      </c>
      <c r="C62" s="169"/>
      <c r="D62" s="170">
        <f>ABS(D61/'Step Two Afford and Save'!E132)</f>
        <v>0.4423218222</v>
      </c>
      <c r="E62" s="169"/>
      <c r="F62" s="169"/>
      <c r="G62" s="17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4"/>
      <c r="B63" s="189" t="s">
        <v>159</v>
      </c>
      <c r="C63" s="101"/>
      <c r="D63" s="101"/>
      <c r="E63" s="101"/>
      <c r="F63" s="101"/>
      <c r="G63" s="10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4"/>
      <c r="B64" s="190" t="s">
        <v>160</v>
      </c>
      <c r="E64" s="191" t="s">
        <v>161</v>
      </c>
      <c r="F64" s="192" t="s">
        <v>162</v>
      </c>
      <c r="G64" s="1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4"/>
      <c r="B65" s="193" t="str">
        <f>'Step One Know the Basics'!B14</f>
        <v>Paris </v>
      </c>
      <c r="G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4"/>
      <c r="B66" s="55" t="str">
        <f>'Step Two Afford and Save'!B66</f>
        <v>Louvre</v>
      </c>
      <c r="E66" s="194" t="b">
        <v>1</v>
      </c>
      <c r="F66" s="105">
        <v>72.0</v>
      </c>
      <c r="G66" s="34"/>
      <c r="I66" s="18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4"/>
      <c r="B67" s="55" t="str">
        <f>'Step Two Afford and Save'!B67</f>
        <v>Eiffel Tower</v>
      </c>
      <c r="E67" s="194" t="b">
        <v>1</v>
      </c>
      <c r="F67" s="105">
        <v>70.0</v>
      </c>
      <c r="G67" s="3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4"/>
      <c r="B68" s="55" t="str">
        <f>'Step Two Afford and Save'!B68</f>
        <v>Musée d'Orsay</v>
      </c>
      <c r="E68" s="194" t="b">
        <v>1</v>
      </c>
      <c r="F68" s="105">
        <v>49.0</v>
      </c>
      <c r="G68" s="3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4"/>
      <c r="B69" s="55" t="str">
        <f>'Step Two Afford and Save'!B69</f>
        <v>Sainte-Chapelle</v>
      </c>
      <c r="E69" s="194" t="b">
        <v>1</v>
      </c>
      <c r="F69" s="105">
        <v>0.0</v>
      </c>
      <c r="G69" s="3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4"/>
      <c r="B70" s="55" t="str">
        <f>'Step Two Afford and Save'!B70</f>
        <v>Clothes shopping</v>
      </c>
      <c r="E70" s="194" t="b">
        <v>0</v>
      </c>
      <c r="F70" s="105">
        <v>300.0</v>
      </c>
      <c r="G70" s="3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4"/>
      <c r="B71" s="55" t="str">
        <f>'Step Two Afford and Save'!B71</f>
        <v/>
      </c>
      <c r="E71" s="194" t="b">
        <v>0</v>
      </c>
      <c r="F71" s="105"/>
      <c r="G71" s="3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4"/>
      <c r="B72" s="55" t="str">
        <f>'Step Two Afford and Save'!B72</f>
        <v/>
      </c>
      <c r="E72" s="194" t="b">
        <v>0</v>
      </c>
      <c r="F72" s="105"/>
      <c r="G72" s="3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4"/>
      <c r="B73" s="195" t="str">
        <f>'Step Two Afford and Save'!B73</f>
        <v>Lyon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4"/>
      <c r="B74" s="55" t="str">
        <f>'Step Two Afford and Save'!B74</f>
        <v>Théâtres Romains de Fourvière</v>
      </c>
      <c r="E74" s="194" t="b">
        <v>1</v>
      </c>
      <c r="F74" s="105">
        <v>40.0</v>
      </c>
      <c r="G74" s="3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4"/>
      <c r="B75" s="55" t="str">
        <f>'Step Two Afford and Save'!B75</f>
        <v>Musée des Confluences</v>
      </c>
      <c r="E75" s="194" t="b">
        <v>1</v>
      </c>
      <c r="F75" s="105">
        <v>50.0</v>
      </c>
      <c r="G75" s="3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4"/>
      <c r="B76" s="55" t="str">
        <f>'Step Two Afford and Save'!B76</f>
        <v>Basilique Notre Dame de Fourviere</v>
      </c>
      <c r="E76" s="196" t="b">
        <v>1</v>
      </c>
      <c r="F76" s="105">
        <v>14.0</v>
      </c>
      <c r="G76" s="3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4"/>
      <c r="B77" s="55" t="str">
        <f>'Step Two Afford and Save'!B77</f>
        <v/>
      </c>
      <c r="E77" s="196" t="b">
        <v>0</v>
      </c>
      <c r="F77" s="105"/>
      <c r="G77" s="3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4"/>
      <c r="B78" s="55" t="str">
        <f>'Step Two Afford and Save'!B78</f>
        <v/>
      </c>
      <c r="E78" s="196" t="b">
        <v>0</v>
      </c>
      <c r="F78" s="105"/>
      <c r="G78" s="3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4"/>
      <c r="B79" s="55" t="str">
        <f>'Step Two Afford and Save'!B79</f>
        <v/>
      </c>
      <c r="E79" s="196" t="b">
        <v>0</v>
      </c>
      <c r="F79" s="105"/>
      <c r="G79" s="3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4"/>
      <c r="B80" s="55" t="str">
        <f>'Step Two Afford and Save'!B80</f>
        <v/>
      </c>
      <c r="E80" s="196" t="b">
        <v>0</v>
      </c>
      <c r="F80" s="105"/>
      <c r="G80" s="3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4"/>
      <c r="B81" s="195" t="str">
        <f>'Step Two Afford and Save'!B81</f>
        <v>Bordeaux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4"/>
      <c r="B82" s="55" t="str">
        <f>'Step Two Afford and Save'!B82</f>
        <v>Musée du Vin et du Négoce</v>
      </c>
      <c r="E82" s="196" t="b">
        <v>0</v>
      </c>
      <c r="F82" s="105">
        <v>40.0</v>
      </c>
      <c r="G82" s="3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4"/>
      <c r="B83" s="55" t="str">
        <f>'Step Two Afford and Save'!B83</f>
        <v>Bassins de Lumières</v>
      </c>
      <c r="E83" s="196" t="b">
        <v>1</v>
      </c>
      <c r="F83" s="105">
        <v>24.0</v>
      </c>
      <c r="G83" s="3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4"/>
      <c r="B84" s="55" t="str">
        <f>'Step Two Afford and Save'!B84</f>
        <v>Wine tasting</v>
      </c>
      <c r="E84" s="196" t="b">
        <v>1</v>
      </c>
      <c r="F84" s="105">
        <v>150.0</v>
      </c>
      <c r="G84" s="3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4"/>
      <c r="B85" s="55" t="str">
        <f>'Step Two Afford and Save'!B85</f>
        <v/>
      </c>
      <c r="E85" s="196" t="b">
        <v>0</v>
      </c>
      <c r="F85" s="105"/>
      <c r="G85" s="3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4"/>
      <c r="B86" s="55" t="str">
        <f>'Step Two Afford and Save'!B86</f>
        <v/>
      </c>
      <c r="E86" s="196" t="b">
        <v>0</v>
      </c>
      <c r="F86" s="105"/>
      <c r="G86" s="3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4"/>
      <c r="B87" s="55" t="str">
        <f>'Step Two Afford and Save'!B87</f>
        <v/>
      </c>
      <c r="E87" s="196" t="b">
        <v>0</v>
      </c>
      <c r="F87" s="105"/>
      <c r="G87" s="3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4"/>
      <c r="B88" s="55" t="str">
        <f>'Step Two Afford and Save'!B88</f>
        <v/>
      </c>
      <c r="E88" s="196" t="b">
        <v>0</v>
      </c>
      <c r="F88" s="105"/>
      <c r="G88" s="3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4"/>
      <c r="B89" s="195" t="str">
        <f>'Step Two Afford and Save'!B89</f>
        <v>Barcelona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4"/>
      <c r="B90" s="121" t="str">
        <f>'Step Two Afford and Save'!B90</f>
        <v>Basílica de la Sagrada Familia</v>
      </c>
      <c r="E90" s="196" t="b">
        <v>1</v>
      </c>
      <c r="F90" s="105">
        <v>65.0</v>
      </c>
      <c r="G90" s="3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121" t="str">
        <f>'Step Two Afford and Save'!B91</f>
        <v>Casa Batlló</v>
      </c>
      <c r="E91" s="196" t="b">
        <v>1</v>
      </c>
      <c r="F91" s="105">
        <v>40.0</v>
      </c>
      <c r="G91" s="3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4"/>
      <c r="B92" s="121" t="str">
        <f>'Step Two Afford and Save'!B92</f>
        <v>Casa Vicens Gaudí</v>
      </c>
      <c r="E92" s="196" t="b">
        <v>1</v>
      </c>
      <c r="F92" s="105">
        <v>43.0</v>
      </c>
      <c r="G92" s="3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4"/>
      <c r="B93" s="121" t="str">
        <f>'Step Two Afford and Save'!B93</f>
        <v>Siteseeing Bus Tour</v>
      </c>
      <c r="E93" s="196" t="b">
        <v>0</v>
      </c>
      <c r="F93" s="105">
        <v>140.0</v>
      </c>
      <c r="G93" s="3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4"/>
      <c r="B94" s="121" t="str">
        <f>'Step Two Afford and Save'!B94</f>
        <v/>
      </c>
      <c r="E94" s="196" t="b">
        <v>0</v>
      </c>
      <c r="F94" s="105"/>
      <c r="G94" s="3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4"/>
      <c r="B95" s="121" t="str">
        <f>'Step Two Afford and Save'!B95</f>
        <v/>
      </c>
      <c r="E95" s="196" t="b">
        <v>0</v>
      </c>
      <c r="F95" s="105"/>
      <c r="G95" s="3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4"/>
      <c r="B96" s="121" t="str">
        <f>'Step Two Afford and Save'!B96</f>
        <v/>
      </c>
      <c r="E96" s="196" t="b">
        <v>0</v>
      </c>
      <c r="F96" s="105"/>
      <c r="G96" s="3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4"/>
      <c r="B97" s="193" t="str">
        <f>'Step Two Afford and Save'!B97</f>
        <v>Madrid</v>
      </c>
      <c r="G97" s="3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4"/>
      <c r="B98" s="121" t="str">
        <f>'Step Two Afford and Save'!B98</f>
        <v>Toledo tour</v>
      </c>
      <c r="E98" s="196" t="b">
        <v>1</v>
      </c>
      <c r="F98" s="105">
        <v>275.0</v>
      </c>
      <c r="G98" s="3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197"/>
    </row>
    <row r="99">
      <c r="A99" s="34"/>
      <c r="B99" s="121" t="str">
        <f>'Step Two Afford and Save'!B99</f>
        <v>Prado National Museum</v>
      </c>
      <c r="E99" s="196" t="b">
        <v>0</v>
      </c>
      <c r="F99" s="105">
        <v>75.0</v>
      </c>
      <c r="G99" s="3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197"/>
    </row>
    <row r="100">
      <c r="A100" s="34"/>
      <c r="B100" s="121" t="str">
        <f>'Step Two Afford and Save'!B100</f>
        <v>Museo Sorolla</v>
      </c>
      <c r="E100" s="196" t="b">
        <v>1</v>
      </c>
      <c r="F100" s="105">
        <v>45.0</v>
      </c>
      <c r="G100" s="3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197"/>
    </row>
    <row r="101">
      <c r="A101" s="34"/>
      <c r="B101" s="121" t="str">
        <f>'Step Two Afford and Save'!B101</f>
        <v/>
      </c>
      <c r="E101" s="196" t="b">
        <v>0</v>
      </c>
      <c r="F101" s="105"/>
      <c r="G101" s="34"/>
      <c r="I101" s="4"/>
      <c r="J101" s="19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197"/>
    </row>
    <row r="102">
      <c r="A102" s="34"/>
      <c r="B102" s="121" t="str">
        <f>'Step Two Afford and Save'!B102</f>
        <v/>
      </c>
      <c r="E102" s="196" t="b">
        <v>0</v>
      </c>
      <c r="F102" s="105"/>
      <c r="G102" s="3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197"/>
    </row>
    <row r="103">
      <c r="A103" s="34"/>
      <c r="B103" s="121" t="str">
        <f>'Step Two Afford and Save'!B103</f>
        <v/>
      </c>
      <c r="E103" s="196" t="b">
        <v>0</v>
      </c>
      <c r="F103" s="105"/>
      <c r="G103" s="3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197"/>
    </row>
    <row r="104">
      <c r="A104" s="34"/>
      <c r="B104" s="121" t="str">
        <f>'Step Two Afford and Save'!B104</f>
        <v/>
      </c>
      <c r="E104" s="196" t="b">
        <v>0</v>
      </c>
      <c r="F104" s="105"/>
      <c r="G104" s="3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197"/>
    </row>
    <row r="105">
      <c r="A105" s="34"/>
      <c r="B105" s="195" t="str">
        <f>'Step Two Afford and Save'!B105</f>
        <v/>
      </c>
      <c r="I105" s="19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197"/>
    </row>
    <row r="106">
      <c r="A106" s="34"/>
      <c r="B106" s="121" t="str">
        <f>'Step Two Afford and Save'!B106</f>
        <v/>
      </c>
      <c r="E106" s="196" t="b">
        <v>0</v>
      </c>
      <c r="F106" s="117"/>
      <c r="G106" s="3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197"/>
    </row>
    <row r="107">
      <c r="A107" s="34"/>
      <c r="B107" s="121" t="str">
        <f>'Step Two Afford and Save'!B107</f>
        <v/>
      </c>
      <c r="E107" s="196" t="b">
        <v>0</v>
      </c>
      <c r="F107" s="117"/>
      <c r="G107" s="3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197"/>
    </row>
    <row r="108">
      <c r="A108" s="34"/>
      <c r="B108" s="121" t="str">
        <f>'Step Two Afford and Save'!B108</f>
        <v/>
      </c>
      <c r="E108" s="196" t="b">
        <v>0</v>
      </c>
      <c r="F108" s="117"/>
      <c r="G108" s="3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197"/>
    </row>
    <row r="109">
      <c r="A109" s="34"/>
      <c r="B109" s="121" t="str">
        <f>'Step Two Afford and Save'!B109</f>
        <v/>
      </c>
      <c r="E109" s="196" t="b">
        <v>0</v>
      </c>
      <c r="F109" s="117"/>
      <c r="G109" s="3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197"/>
    </row>
    <row r="110">
      <c r="A110" s="34"/>
      <c r="B110" s="121" t="str">
        <f>'Step Two Afford and Save'!B110</f>
        <v/>
      </c>
      <c r="E110" s="196" t="b">
        <v>0</v>
      </c>
      <c r="F110" s="117"/>
      <c r="G110" s="3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197"/>
    </row>
    <row r="111">
      <c r="A111" s="34"/>
      <c r="B111" s="121" t="str">
        <f>'Step Two Afford and Save'!B111</f>
        <v/>
      </c>
      <c r="E111" s="196" t="b">
        <v>0</v>
      </c>
      <c r="F111" s="117"/>
      <c r="G111" s="3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197"/>
    </row>
    <row r="112">
      <c r="A112" s="34"/>
      <c r="B112" s="121" t="str">
        <f>'Step Two Afford and Save'!B112</f>
        <v/>
      </c>
      <c r="E112" s="196" t="b">
        <v>0</v>
      </c>
      <c r="F112" s="117"/>
      <c r="G112" s="3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197"/>
    </row>
    <row r="113">
      <c r="A113" s="34"/>
      <c r="B113" s="176" t="s">
        <v>163</v>
      </c>
      <c r="C113" s="28"/>
      <c r="D113" s="198">
        <f>SUM(F66:G72,F74:G80,F82:G88,F90:G96,F98:G104,F106:G112)</f>
        <v>1492</v>
      </c>
      <c r="E113" s="28"/>
      <c r="F113" s="28"/>
      <c r="G113" s="29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4"/>
      <c r="B114" s="178" t="s">
        <v>149</v>
      </c>
      <c r="D114" s="129">
        <f>'Step Two Afford and Save'!E113-D113</f>
        <v>-12</v>
      </c>
      <c r="G114" s="3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4"/>
      <c r="B115" s="168" t="s">
        <v>164</v>
      </c>
      <c r="C115" s="169"/>
      <c r="D115" s="170">
        <f>ABS(D114/'Step Two Afford and Save'!E132)</f>
        <v>0.5307861866</v>
      </c>
      <c r="E115" s="169"/>
      <c r="F115" s="169"/>
      <c r="G115" s="17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4"/>
      <c r="B116" s="153" t="s">
        <v>165</v>
      </c>
      <c r="C116" s="101"/>
      <c r="D116" s="101"/>
      <c r="E116" s="101"/>
      <c r="F116" s="101"/>
      <c r="G116" s="10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4"/>
      <c r="B117" s="199" t="s">
        <v>166</v>
      </c>
      <c r="C117" s="18"/>
      <c r="D117" s="95"/>
      <c r="E117" s="200" t="s">
        <v>156</v>
      </c>
      <c r="F117" s="18"/>
      <c r="G117" s="19"/>
      <c r="I117" s="4"/>
      <c r="J117" s="19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4"/>
      <c r="B118" s="201" t="str">
        <f>'Step Two Afford and Save'!B118</f>
        <v>Coats ($100 each) for 3 people</v>
      </c>
      <c r="C118" s="18"/>
      <c r="D118" s="95"/>
      <c r="E118" s="87">
        <v>350.0</v>
      </c>
      <c r="F118" s="18"/>
      <c r="G118" s="19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4"/>
      <c r="B119" s="201" t="str">
        <f>'Step Two Afford and Save'!B119</f>
        <v>New luggage</v>
      </c>
      <c r="C119" s="18"/>
      <c r="D119" s="95"/>
      <c r="E119" s="87">
        <v>150.0</v>
      </c>
      <c r="F119" s="18"/>
      <c r="G119" s="19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4"/>
      <c r="B120" s="201" t="str">
        <f>'Step Two Afford and Save'!B120</f>
        <v>Winter boots for 2 people ($100 and $150)</v>
      </c>
      <c r="C120" s="18"/>
      <c r="D120" s="95"/>
      <c r="E120" s="87">
        <v>275.0</v>
      </c>
      <c r="F120" s="18"/>
      <c r="G120" s="19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4"/>
      <c r="B121" s="201" t="str">
        <f>'Step Two Afford and Save'!B121</f>
        <v/>
      </c>
      <c r="C121" s="18"/>
      <c r="D121" s="95"/>
      <c r="E121" s="87"/>
      <c r="F121" s="18"/>
      <c r="G121" s="19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4"/>
      <c r="B122" s="201" t="str">
        <f>'Step Two Afford and Save'!B122</f>
        <v/>
      </c>
      <c r="C122" s="18"/>
      <c r="D122" s="95"/>
      <c r="E122" s="87"/>
      <c r="F122" s="18"/>
      <c r="G122" s="19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4"/>
      <c r="B123" s="201" t="str">
        <f>'Step Two Afford and Save'!B123</f>
        <v/>
      </c>
      <c r="C123" s="18"/>
      <c r="D123" s="95"/>
      <c r="E123" s="87"/>
      <c r="F123" s="18"/>
      <c r="G123" s="1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4"/>
      <c r="B124" s="201" t="str">
        <f>'Step Two Afford and Save'!B124</f>
        <v/>
      </c>
      <c r="C124" s="18"/>
      <c r="D124" s="95"/>
      <c r="E124" s="87"/>
      <c r="F124" s="18"/>
      <c r="G124" s="19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4"/>
      <c r="B125" s="202" t="s">
        <v>167</v>
      </c>
      <c r="C125" s="18"/>
      <c r="D125" s="95"/>
      <c r="E125" s="87">
        <v>35.0</v>
      </c>
      <c r="F125" s="18"/>
      <c r="G125" s="1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4"/>
      <c r="B126" s="26"/>
      <c r="C126" s="23"/>
      <c r="D126" s="203"/>
      <c r="E126" s="89"/>
      <c r="F126" s="23"/>
      <c r="G126" s="2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4"/>
      <c r="B127" s="204" t="s">
        <v>168</v>
      </c>
      <c r="C127" s="28"/>
      <c r="D127" s="177">
        <f>SUM(E118:G126)</f>
        <v>810</v>
      </c>
      <c r="E127" s="28"/>
      <c r="F127" s="28"/>
      <c r="G127" s="29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4"/>
      <c r="B128" s="205" t="s">
        <v>149</v>
      </c>
      <c r="D128" s="179">
        <f>'Step Two Afford and Save'!E125-D127</f>
        <v>-60</v>
      </c>
      <c r="G128" s="3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4"/>
      <c r="B129" s="168" t="s">
        <v>169</v>
      </c>
      <c r="C129" s="169"/>
      <c r="D129" s="180">
        <f>ABS(D128/'Step Two Afford and Save'!E132)</f>
        <v>2.653930933</v>
      </c>
      <c r="E129" s="169"/>
      <c r="F129" s="169"/>
      <c r="G129" s="17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4"/>
      <c r="B130" s="206" t="s">
        <v>170</v>
      </c>
      <c r="C130" s="101"/>
      <c r="D130" s="101"/>
      <c r="E130" s="207">
        <f>F13+D41+D60+D113+D127</f>
        <v>8087</v>
      </c>
      <c r="F130" s="101"/>
      <c r="G130" s="12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4"/>
      <c r="B131" s="128" t="s">
        <v>171</v>
      </c>
      <c r="E131" s="208">
        <f>'Step Two Afford and Save'!E41</f>
        <v>1840</v>
      </c>
      <c r="G131" s="13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4"/>
      <c r="B132" s="128" t="s">
        <v>172</v>
      </c>
      <c r="E132" s="208">
        <f>'Step Two Afford and Save'!E61</f>
        <v>2345</v>
      </c>
      <c r="G132" s="13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4"/>
      <c r="B133" s="128" t="s">
        <v>173</v>
      </c>
      <c r="E133" s="208">
        <f>'Step Two Afford and Save'!E114</f>
        <v>1170</v>
      </c>
      <c r="G133" s="13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4"/>
      <c r="B134" s="128" t="s">
        <v>174</v>
      </c>
      <c r="E134" s="208">
        <f>'Step Two Afford and Save'!E127</f>
        <v>750</v>
      </c>
      <c r="G134" s="13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4"/>
      <c r="B135" s="209" t="s">
        <v>175</v>
      </c>
      <c r="C135" s="210"/>
      <c r="D135" s="210"/>
      <c r="E135" s="211">
        <f>F13+D41+D60+D113+D127+E131+E132+E133+E134</f>
        <v>14192</v>
      </c>
      <c r="F135" s="210"/>
      <c r="G135" s="21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1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</sheetData>
  <mergeCells count="226">
    <mergeCell ref="B73:G73"/>
    <mergeCell ref="B74:D74"/>
    <mergeCell ref="F74:G74"/>
    <mergeCell ref="B78:D78"/>
    <mergeCell ref="F78:G78"/>
    <mergeCell ref="B79:D79"/>
    <mergeCell ref="F79:G79"/>
    <mergeCell ref="B80:D80"/>
    <mergeCell ref="F80:G80"/>
    <mergeCell ref="B83:D83"/>
    <mergeCell ref="F83:G83"/>
    <mergeCell ref="B84:D84"/>
    <mergeCell ref="F84:G84"/>
    <mergeCell ref="B85:D85"/>
    <mergeCell ref="F85:G85"/>
    <mergeCell ref="B81:G81"/>
    <mergeCell ref="B82:D82"/>
    <mergeCell ref="F82:G82"/>
    <mergeCell ref="B86:D86"/>
    <mergeCell ref="F86:G86"/>
    <mergeCell ref="B87:D87"/>
    <mergeCell ref="F87:G87"/>
    <mergeCell ref="B88:D88"/>
    <mergeCell ref="F88:G88"/>
    <mergeCell ref="B91:D91"/>
    <mergeCell ref="F91:G91"/>
    <mergeCell ref="B92:D92"/>
    <mergeCell ref="F92:G92"/>
    <mergeCell ref="B93:D93"/>
    <mergeCell ref="F93:G93"/>
    <mergeCell ref="B89:G89"/>
    <mergeCell ref="B90:D90"/>
    <mergeCell ref="F90:G90"/>
    <mergeCell ref="B94:D94"/>
    <mergeCell ref="F94:G94"/>
    <mergeCell ref="B95:D95"/>
    <mergeCell ref="F95:G95"/>
    <mergeCell ref="B96:D96"/>
    <mergeCell ref="F96:G96"/>
    <mergeCell ref="B99:D99"/>
    <mergeCell ref="F99:G99"/>
    <mergeCell ref="B100:D100"/>
    <mergeCell ref="F100:G100"/>
    <mergeCell ref="B101:D101"/>
    <mergeCell ref="F101:G101"/>
    <mergeCell ref="B97:G97"/>
    <mergeCell ref="B98:D98"/>
    <mergeCell ref="F98:G98"/>
    <mergeCell ref="B102:D102"/>
    <mergeCell ref="F102:G102"/>
    <mergeCell ref="B103:D103"/>
    <mergeCell ref="F103:G103"/>
    <mergeCell ref="B104:D104"/>
    <mergeCell ref="F104:G104"/>
    <mergeCell ref="B107:D107"/>
    <mergeCell ref="F107:G107"/>
    <mergeCell ref="B108:D108"/>
    <mergeCell ref="F108:G108"/>
    <mergeCell ref="B109:D109"/>
    <mergeCell ref="F109:G109"/>
    <mergeCell ref="B105:G105"/>
    <mergeCell ref="B106:D106"/>
    <mergeCell ref="F106:G106"/>
    <mergeCell ref="B110:D110"/>
    <mergeCell ref="F110:G110"/>
    <mergeCell ref="B111:D111"/>
    <mergeCell ref="F111:G111"/>
    <mergeCell ref="B112:D112"/>
    <mergeCell ref="F112:G112"/>
    <mergeCell ref="B113:C113"/>
    <mergeCell ref="D113:G113"/>
    <mergeCell ref="B114:C114"/>
    <mergeCell ref="D114:G114"/>
    <mergeCell ref="B115:C115"/>
    <mergeCell ref="D115:G115"/>
    <mergeCell ref="B118:D118"/>
    <mergeCell ref="E118:G118"/>
    <mergeCell ref="B119:D119"/>
    <mergeCell ref="E119:G119"/>
    <mergeCell ref="B120:D120"/>
    <mergeCell ref="E120:G120"/>
    <mergeCell ref="B121:D121"/>
    <mergeCell ref="E121:G121"/>
    <mergeCell ref="B122:D122"/>
    <mergeCell ref="E122:G122"/>
    <mergeCell ref="B123:D123"/>
    <mergeCell ref="E123:G123"/>
    <mergeCell ref="B124:D124"/>
    <mergeCell ref="E124:G124"/>
    <mergeCell ref="B116:G116"/>
    <mergeCell ref="B117:D117"/>
    <mergeCell ref="E117:G117"/>
    <mergeCell ref="B132:D132"/>
    <mergeCell ref="E132:G132"/>
    <mergeCell ref="B133:D133"/>
    <mergeCell ref="E133:G133"/>
    <mergeCell ref="B134:D134"/>
    <mergeCell ref="E134:G134"/>
    <mergeCell ref="B135:D135"/>
    <mergeCell ref="E135:G135"/>
    <mergeCell ref="A1:A135"/>
    <mergeCell ref="B1:G1"/>
    <mergeCell ref="H1:H135"/>
    <mergeCell ref="B2:G2"/>
    <mergeCell ref="B3:G3"/>
    <mergeCell ref="B4:G4"/>
    <mergeCell ref="B5:G5"/>
    <mergeCell ref="A136:H137"/>
    <mergeCell ref="B125:D125"/>
    <mergeCell ref="E125:G125"/>
    <mergeCell ref="B126:D126"/>
    <mergeCell ref="E126:G126"/>
    <mergeCell ref="B127:C127"/>
    <mergeCell ref="D127:G127"/>
    <mergeCell ref="B128:C128"/>
    <mergeCell ref="D128:G128"/>
    <mergeCell ref="B129:C129"/>
    <mergeCell ref="D129:G129"/>
    <mergeCell ref="B130:D130"/>
    <mergeCell ref="E130:G130"/>
    <mergeCell ref="B131:D131"/>
    <mergeCell ref="E131:G131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4"/>
    <mergeCell ref="D13:E13"/>
    <mergeCell ref="D14:E14"/>
    <mergeCell ref="F13:G13"/>
    <mergeCell ref="F14:G14"/>
    <mergeCell ref="B15:C15"/>
    <mergeCell ref="D15:G15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B16:G16"/>
    <mergeCell ref="C17:G17"/>
    <mergeCell ref="C40:G40"/>
    <mergeCell ref="B41:C41"/>
    <mergeCell ref="D41:G41"/>
    <mergeCell ref="B42:C42"/>
    <mergeCell ref="D42:G42"/>
    <mergeCell ref="B43:C43"/>
    <mergeCell ref="D43:G43"/>
    <mergeCell ref="B44:G44"/>
    <mergeCell ref="B45:G45"/>
    <mergeCell ref="B48:D48"/>
    <mergeCell ref="F48:G48"/>
    <mergeCell ref="F49:G49"/>
    <mergeCell ref="F50:G50"/>
    <mergeCell ref="B46:G46"/>
    <mergeCell ref="B47:G47"/>
    <mergeCell ref="F51:G51"/>
    <mergeCell ref="F52:G52"/>
    <mergeCell ref="B55:D55"/>
    <mergeCell ref="F55:G55"/>
    <mergeCell ref="B56:D56"/>
    <mergeCell ref="F56:G56"/>
    <mergeCell ref="B57:D57"/>
    <mergeCell ref="F57:G57"/>
    <mergeCell ref="B58:D58"/>
    <mergeCell ref="F58:G58"/>
    <mergeCell ref="B59:D59"/>
    <mergeCell ref="B60:C60"/>
    <mergeCell ref="F53:G53"/>
    <mergeCell ref="B54:D54"/>
    <mergeCell ref="F54:G54"/>
    <mergeCell ref="D60:G60"/>
    <mergeCell ref="B61:C61"/>
    <mergeCell ref="D61:G61"/>
    <mergeCell ref="B62:C62"/>
    <mergeCell ref="D62:G62"/>
    <mergeCell ref="B63:G63"/>
    <mergeCell ref="B64:D64"/>
    <mergeCell ref="F64:G64"/>
    <mergeCell ref="B67:D67"/>
    <mergeCell ref="F67:G67"/>
    <mergeCell ref="B68:D68"/>
    <mergeCell ref="F68:G68"/>
    <mergeCell ref="B69:D69"/>
    <mergeCell ref="F69:G69"/>
    <mergeCell ref="B65:G65"/>
    <mergeCell ref="B66:D66"/>
    <mergeCell ref="F66:G66"/>
    <mergeCell ref="B70:D70"/>
    <mergeCell ref="F70:G70"/>
    <mergeCell ref="B71:D71"/>
    <mergeCell ref="F71:G71"/>
    <mergeCell ref="B72:D72"/>
    <mergeCell ref="F72:G72"/>
    <mergeCell ref="B75:D75"/>
    <mergeCell ref="F75:G75"/>
    <mergeCell ref="B76:D76"/>
    <mergeCell ref="F76:G76"/>
    <mergeCell ref="B77:D77"/>
    <mergeCell ref="F77:G77"/>
  </mergeCells>
  <conditionalFormatting sqref="F14:G14">
    <cfRule type="cellIs" dxfId="1" priority="1" operator="lessThan">
      <formula>0</formula>
    </cfRule>
  </conditionalFormatting>
  <conditionalFormatting sqref="D114:G114">
    <cfRule type="cellIs" dxfId="2" priority="2" operator="lessThan">
      <formula>0</formula>
    </cfRule>
  </conditionalFormatting>
  <conditionalFormatting sqref="D42:G43 D129:G129">
    <cfRule type="cellIs" dxfId="1" priority="3" operator="lessThan">
      <formula>0</formula>
    </cfRule>
  </conditionalFormatting>
  <conditionalFormatting sqref="D61:G61">
    <cfRule type="cellIs" dxfId="1" priority="4" operator="lessThan">
      <formula>0</formula>
    </cfRule>
  </conditionalFormatting>
  <conditionalFormatting sqref="D128:G129">
    <cfRule type="cellIs" dxfId="1" priority="5" operator="lessThan">
      <formula>0</formula>
    </cfRule>
  </conditionalFormatting>
  <dataValidations>
    <dataValidation type="list" allowBlank="1" showErrorMessage="1" sqref="D9 D11">
      <formula1>"Yes,No"</formula1>
    </dataValidation>
    <dataValidation type="list" allowBlank="1" showErrorMessage="1" sqref="D10 D12">
      <formula1>"Yes,No,Not Required"</formula1>
    </dataValidation>
  </dataValidations>
  <hyperlinks>
    <hyperlink r:id="rId1" ref="B4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3" max="3" width="18.63"/>
    <col customWidth="1" min="4" max="4" width="19.88"/>
    <col customWidth="1" min="7" max="7" width="17.75"/>
    <col customWidth="1" min="8" max="8" width="9.25"/>
  </cols>
  <sheetData>
    <row r="1" ht="79.5" customHeight="1">
      <c r="A1" s="43"/>
      <c r="B1" s="2" t="s">
        <v>176</v>
      </c>
      <c r="G1" s="34"/>
      <c r="H1" s="44"/>
      <c r="I1" s="6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/>
      <c r="G2" s="3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6"/>
      <c r="G3" s="3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214" t="s">
        <v>177</v>
      </c>
      <c r="C4" s="10"/>
      <c r="D4" s="10"/>
      <c r="E4" s="10"/>
      <c r="F4" s="10"/>
      <c r="G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215" t="s">
        <v>178</v>
      </c>
      <c r="C5" s="28"/>
      <c r="D5" s="28"/>
      <c r="E5" s="28"/>
      <c r="F5" s="28"/>
      <c r="G5" s="2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121" t="str">
        <f>'Step One Know the Basics'!D6</f>
        <v>me, Aldo, Julien</v>
      </c>
      <c r="G6" s="3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215" t="s">
        <v>179</v>
      </c>
      <c r="C7" s="28"/>
      <c r="D7" s="28"/>
      <c r="E7" s="28"/>
      <c r="F7" s="28"/>
      <c r="G7" s="29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216" t="s">
        <v>120</v>
      </c>
      <c r="E8" s="217" t="str">
        <f>'Step Three Book Your Trip'!D6</f>
        <v>American Airlines</v>
      </c>
      <c r="G8" s="3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218" t="s">
        <v>180</v>
      </c>
      <c r="C9" s="62"/>
      <c r="D9" s="62"/>
      <c r="E9" s="219">
        <f>'Step Three Book Your Trip'!D7</f>
        <v>46089</v>
      </c>
      <c r="F9" s="62"/>
      <c r="G9" s="6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216" t="s">
        <v>123</v>
      </c>
      <c r="E10" s="220">
        <f>'Step Three Book Your Trip'!D8</f>
        <v>46102</v>
      </c>
      <c r="G10" s="3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B11" s="221" t="s">
        <v>181</v>
      </c>
      <c r="C11" s="13"/>
      <c r="D11" s="13"/>
      <c r="E11" s="13"/>
      <c r="F11" s="13"/>
      <c r="G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B12" s="222" t="str">
        <f>'Step Three Book Your Trip'!C17</f>
        <v>Paris </v>
      </c>
      <c r="C12" s="63"/>
      <c r="D12" s="223" t="str">
        <f>'Step Three Book Your Trip'!C21</f>
        <v>Lyon</v>
      </c>
      <c r="E12" s="63"/>
      <c r="F12" s="223" t="str">
        <f>'Step Three Book Your Trip'!C25</f>
        <v>Bordeaux</v>
      </c>
      <c r="G12" s="6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96" t="str">
        <f>'Step Three Book Your Trip'!C18</f>
        <v>Paris Court Hotel</v>
      </c>
      <c r="C13" s="16"/>
      <c r="D13" s="224" t="str">
        <f>'Step Three Book Your Trip'!C22</f>
        <v>Best Western Lyon</v>
      </c>
      <c r="E13" s="16"/>
      <c r="F13" s="224" t="str">
        <f>'Step Three Book Your Trip'!C26</f>
        <v>Airbnb Bordeaux</v>
      </c>
      <c r="G13" s="1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225" t="str">
        <f>'Step Three Book Your Trip'!C29</f>
        <v>Barcelona</v>
      </c>
      <c r="C14" s="16"/>
      <c r="D14" s="226" t="str">
        <f>'Step Three Book Your Trip'!C33</f>
        <v>Madrid</v>
      </c>
      <c r="E14" s="16"/>
      <c r="F14" s="226" t="str">
        <f>'Step Three Book Your Trip'!C37</f>
        <v/>
      </c>
      <c r="G14" s="1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98" t="str">
        <f>'Step Three Book Your Trip'!C30</f>
        <v>Hotel Mosaic</v>
      </c>
      <c r="C15" s="21"/>
      <c r="D15" s="227" t="str">
        <f>'Step Three Book Your Trip'!C34</f>
        <v>Madrid Hotel</v>
      </c>
      <c r="E15" s="21"/>
      <c r="F15" s="227" t="str">
        <f>'Step Three Book Your Trip'!C38</f>
        <v/>
      </c>
      <c r="G15" s="2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228" t="s">
        <v>182</v>
      </c>
      <c r="C16" s="229"/>
      <c r="D16" s="229"/>
      <c r="E16" s="230">
        <f>'Step Three Book Your Trip'!E130</f>
        <v>8087</v>
      </c>
      <c r="F16" s="229"/>
      <c r="G16" s="23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B17" s="232" t="s">
        <v>183</v>
      </c>
      <c r="C17" s="28"/>
      <c r="D17" s="28"/>
      <c r="E17" s="233">
        <f>SUM('Step Three Book Your Trip'!E131:G134)</f>
        <v>6105</v>
      </c>
      <c r="F17" s="28"/>
      <c r="G17" s="2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235" t="s">
        <v>184</v>
      </c>
      <c r="C18" s="62"/>
      <c r="D18" s="62"/>
      <c r="E18" s="68">
        <f>'Step Three Book Your Trip'!E131</f>
        <v>1840</v>
      </c>
      <c r="F18" s="62"/>
      <c r="G18" s="23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B19" s="237" t="s">
        <v>185</v>
      </c>
      <c r="E19" s="110">
        <f>'Step Three Book Your Trip'!E132</f>
        <v>2345</v>
      </c>
      <c r="G19" s="23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B20" s="237" t="s">
        <v>186</v>
      </c>
      <c r="E20" s="110">
        <f>'Step Three Book Your Trip'!E133</f>
        <v>1170</v>
      </c>
      <c r="G20" s="23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3"/>
      <c r="B21" s="239" t="s">
        <v>174</v>
      </c>
      <c r="C21" s="240"/>
      <c r="D21" s="240"/>
      <c r="E21" s="241">
        <f>'Step Three Book Your Trip'!E134</f>
        <v>750</v>
      </c>
      <c r="F21" s="240"/>
      <c r="G21" s="242"/>
      <c r="H21" s="4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</sheetData>
  <mergeCells count="40">
    <mergeCell ref="F15:G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A22:H23"/>
    <mergeCell ref="A1:A20"/>
    <mergeCell ref="B1:G1"/>
    <mergeCell ref="H1:H20"/>
    <mergeCell ref="B2:G3"/>
    <mergeCell ref="B4:G4"/>
    <mergeCell ref="B5:G5"/>
    <mergeCell ref="B6:G6"/>
    <mergeCell ref="B7:G7"/>
    <mergeCell ref="B8:D8"/>
    <mergeCell ref="E8:G8"/>
    <mergeCell ref="B9:D9"/>
    <mergeCell ref="E9:G9"/>
    <mergeCell ref="B10:D10"/>
    <mergeCell ref="E10:G10"/>
    <mergeCell ref="B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</mergeCells>
  <drawing r:id="rId1"/>
</worksheet>
</file>